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C:\Users\2133122\Downloads\"/>
    </mc:Choice>
  </mc:AlternateContent>
  <xr:revisionPtr revIDLastSave="0" documentId="8_{96C38833-995F-463A-8F77-1F8D0D84EE1B}" xr6:coauthVersionLast="47" xr6:coauthVersionMax="47" xr10:uidLastSave="{00000000-0000-0000-0000-000000000000}"/>
  <bookViews>
    <workbookView xWindow="-110" yWindow="-110" windowWidth="19420" windowHeight="10300" tabRatio="847" activeTab="1" xr2:uid="{00000000-000D-0000-FFFF-FFFF00000000}"/>
  </bookViews>
  <sheets>
    <sheet name="About the Curriculum" sheetId="1" r:id="rId1"/>
    <sheet name="Module List" sheetId="9" r:id="rId2"/>
    <sheet name="Dev-Led View" sheetId="12" r:id="rId3"/>
    <sheet name="Skill Framework" sheetId="2" state="hidden" r:id="rId4"/>
    <sheet name="Performance Outcomes" sheetId="3" r:id="rId5"/>
    <sheet name="Refresher - Tech Scope" sheetId="13" r:id="rId6"/>
    <sheet name="Sprint 1 - Tech Scope" sheetId="14" r:id="rId7"/>
    <sheet name="Sprint 2 - Tech Scope" sheetId="15" r:id="rId8"/>
    <sheet name="Sprint 3 - Tech Scope" sheetId="16" r:id="rId9"/>
    <sheet name="Sprint 4 - Tech Scope" sheetId="19" r:id="rId10"/>
    <sheet name="Sprint 5 - Tech Scope" sheetId="17" r:id="rId11"/>
    <sheet name="BH Training - Scope" sheetId="10" r:id="rId12"/>
    <sheet name="AI Accelerate - Coverage" sheetId="11" r:id="rId13"/>
    <sheet name="GitHub Copilot - Coverage" sheetId="18" r:id="rId14"/>
  </sheets>
  <definedNames>
    <definedName name="_xlnm._FilterDatabase" localSheetId="1" hidden="1">'Module List'!$B$1:$K$1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3" i="9" l="1"/>
  <c r="K33" i="9" s="1"/>
  <c r="G33" i="9"/>
  <c r="J2" i="9"/>
  <c r="K2" i="9" s="1"/>
  <c r="J6" i="9"/>
  <c r="J19" i="9"/>
  <c r="K19" i="9" s="1"/>
  <c r="G21" i="9"/>
  <c r="G13" i="9"/>
  <c r="G5" i="9"/>
  <c r="J30" i="9"/>
  <c r="K30" i="9" s="1"/>
  <c r="J27" i="9"/>
  <c r="K27" i="9" s="1"/>
  <c r="J22" i="9"/>
  <c r="K22" i="9" s="1"/>
  <c r="G23" i="9"/>
  <c r="G7" i="9"/>
  <c r="G6" i="9"/>
  <c r="G30" i="9" l="1"/>
  <c r="G28" i="9"/>
  <c r="G27" i="9"/>
  <c r="G20" i="9"/>
  <c r="G19" i="9"/>
  <c r="J14" i="9"/>
  <c r="G18" i="9"/>
  <c r="G16" i="9"/>
  <c r="G17" i="9"/>
  <c r="G22" i="9"/>
  <c r="G24" i="9"/>
  <c r="G25" i="9"/>
  <c r="G26" i="9"/>
  <c r="K6" i="9"/>
  <c r="G15" i="9"/>
  <c r="G10" i="9"/>
  <c r="G9" i="9"/>
  <c r="G3" i="9"/>
  <c r="G4" i="9"/>
  <c r="G2" i="9"/>
  <c r="K14" i="9" l="1"/>
  <c r="G32" i="9"/>
  <c r="G31" i="9"/>
  <c r="G11" i="9"/>
  <c r="G12" i="9"/>
  <c r="G14" i="9"/>
  <c r="G8" i="9"/>
  <c r="G29" i="9"/>
  <c r="J32" i="9" l="1"/>
  <c r="K32" i="9" s="1"/>
  <c r="J31" i="9"/>
  <c r="K31" i="9" l="1"/>
  <c r="K34" i="9" s="1"/>
  <c r="J34" i="9"/>
</calcChain>
</file>

<file path=xl/sharedStrings.xml><?xml version="1.0" encoding="utf-8"?>
<sst xmlns="http://schemas.openxmlformats.org/spreadsheetml/2006/main" count="844" uniqueCount="700">
  <si>
    <t>1. Name of the track</t>
  </si>
  <si>
    <t xml:space="preserve">2. Category (Technical/Domain/Behavioral): </t>
  </si>
  <si>
    <t>Technical + Behavioral</t>
  </si>
  <si>
    <t xml:space="preserve">3.  Outcome Expected </t>
  </si>
  <si>
    <t>Delivery Readiness according to Performance Outcomes detailed in this file (Refer "Performance Outcomes" sheet)</t>
  </si>
  <si>
    <t xml:space="preserve">5. Who is the target audience? </t>
  </si>
  <si>
    <t>6. What is the gating criteria?</t>
  </si>
  <si>
    <t>Agile Sprints</t>
  </si>
  <si>
    <t>Course Categories</t>
  </si>
  <si>
    <t>Courses/Modules</t>
  </si>
  <si>
    <t>Delivery Mode</t>
  </si>
  <si>
    <t xml:space="preserve">Baseline Duration ( Hrs. ) </t>
  </si>
  <si>
    <t>No of days</t>
  </si>
  <si>
    <t>Enablement Assured Level</t>
  </si>
  <si>
    <t>Assessment Assured Level</t>
  </si>
  <si>
    <t>Sprint wise -Total Duration (Hrs.)</t>
  </si>
  <si>
    <t>Sprint wise -Total Duration (Wks)</t>
  </si>
  <si>
    <t>Blended Learning</t>
  </si>
  <si>
    <t>Knowledge</t>
  </si>
  <si>
    <t>GIT Basics</t>
  </si>
  <si>
    <t>Skill</t>
  </si>
  <si>
    <t xml:space="preserve">Application Debugging - Front-end </t>
  </si>
  <si>
    <t>Sprint 2</t>
  </si>
  <si>
    <t>ASP.Net Core 8.0</t>
  </si>
  <si>
    <t>Evaluation</t>
  </si>
  <si>
    <t>Video Interview</t>
  </si>
  <si>
    <t>Sprint 3</t>
  </si>
  <si>
    <t>ASP.NET Core 8.0 Web API</t>
  </si>
  <si>
    <t>Microservices Architecture</t>
  </si>
  <si>
    <t>Hands-On</t>
  </si>
  <si>
    <t>Application Debugging - Backend</t>
  </si>
  <si>
    <t>Sprint 4</t>
  </si>
  <si>
    <t>NUnit, Moq</t>
  </si>
  <si>
    <t>Code Analysis &amp; Logging</t>
  </si>
  <si>
    <t>Sprint 5</t>
  </si>
  <si>
    <t>Containerization</t>
  </si>
  <si>
    <t>Docker Basics</t>
  </si>
  <si>
    <t>Cloud and DevOps</t>
  </si>
  <si>
    <t>Cloud and DevOps Basics using Azure</t>
  </si>
  <si>
    <t>Final Assessment</t>
  </si>
  <si>
    <t>HackerRank Prep &amp; Assessment</t>
  </si>
  <si>
    <t>Online Test</t>
  </si>
  <si>
    <t>Behavioral Training</t>
  </si>
  <si>
    <t>Behavioral Sessions</t>
  </si>
  <si>
    <t>ILT/VILT</t>
  </si>
  <si>
    <t>Gen AI Learning</t>
  </si>
  <si>
    <t>AI Accelerate</t>
  </si>
  <si>
    <t>E-Learning</t>
  </si>
  <si>
    <t>Cognizant Gen AI Platform</t>
  </si>
  <si>
    <t>Cognizant Flowsource 101 foundation program [101-BASICS] (ELRNG02089)</t>
  </si>
  <si>
    <t>Cohort Mentoring</t>
  </si>
  <si>
    <t>Cohort Mentor Sessions</t>
  </si>
  <si>
    <t>Secure Coding - Mandatory Learning</t>
  </si>
  <si>
    <t>NA</t>
  </si>
  <si>
    <t>Mandatory Learning (Clearn)</t>
  </si>
  <si>
    <t>Foundations of .NET Platform Security (CTKNT494)</t>
  </si>
  <si>
    <t>Building Security Into ASP.NET (CTKNT493)</t>
  </si>
  <si>
    <t>Week</t>
  </si>
  <si>
    <t>Sprint</t>
  </si>
  <si>
    <t>Duration</t>
  </si>
  <si>
    <t>Skills</t>
  </si>
  <si>
    <t>FSE Aspect</t>
  </si>
  <si>
    <t>Deliverables</t>
  </si>
  <si>
    <t>Agile Ceremonies</t>
  </si>
  <si>
    <t>Software Tools/APIs</t>
  </si>
  <si>
    <t>Week 6</t>
  </si>
  <si>
    <t>Technology Layer</t>
  </si>
  <si>
    <t>Technology Category</t>
  </si>
  <si>
    <t>Proficiency</t>
  </si>
  <si>
    <t>Stage 1</t>
  </si>
  <si>
    <t>Stage 2</t>
  </si>
  <si>
    <t>Stage 3</t>
  </si>
  <si>
    <t>Stage 4</t>
  </si>
  <si>
    <t>Programming Language</t>
  </si>
  <si>
    <t>PL1 - Learner</t>
  </si>
  <si>
    <t>C#</t>
  </si>
  <si>
    <t>Scripting Language</t>
  </si>
  <si>
    <t>JavaScript</t>
  </si>
  <si>
    <t>jQuery</t>
  </si>
  <si>
    <t>Presentation Layer</t>
  </si>
  <si>
    <t>Basic UI/Markup</t>
  </si>
  <si>
    <t>HTML5</t>
  </si>
  <si>
    <t>CSS3</t>
  </si>
  <si>
    <t>Responsive Web Design</t>
  </si>
  <si>
    <t>Bootstrap4</t>
  </si>
  <si>
    <t>Web Frameworks</t>
  </si>
  <si>
    <t>Angular/React</t>
  </si>
  <si>
    <t>Middleware</t>
  </si>
  <si>
    <t>Business Tier</t>
  </si>
  <si>
    <t>ASP .Net Core</t>
  </si>
  <si>
    <t>Persistence Tier</t>
  </si>
  <si>
    <t>ADO.Net</t>
  </si>
  <si>
    <t>Entity Framework, Dapper</t>
  </si>
  <si>
    <t>Integration Tier</t>
  </si>
  <si>
    <t>ASP.NET Core Web API</t>
  </si>
  <si>
    <t>Data Layer</t>
  </si>
  <si>
    <t>Query Languages</t>
  </si>
  <si>
    <t xml:space="preserve">ANSI SQL </t>
  </si>
  <si>
    <t>RDBMS/No-SQL</t>
  </si>
  <si>
    <t>MS SQL Server</t>
  </si>
  <si>
    <t>Ancillary Layer</t>
  </si>
  <si>
    <t>Common Utilities</t>
  </si>
  <si>
    <t>Visual Studio IDE</t>
  </si>
  <si>
    <t>Visual Studio Code</t>
  </si>
  <si>
    <t>Visual Studio Code Analysis, Log4Net</t>
  </si>
  <si>
    <t>Platform and OS</t>
  </si>
  <si>
    <t>Windows</t>
  </si>
  <si>
    <t>Unit Testing</t>
  </si>
  <si>
    <t>Servers</t>
  </si>
  <si>
    <t>IIS</t>
  </si>
  <si>
    <t>Data Structures and Algorithms, Design Patterns and Principles</t>
  </si>
  <si>
    <t>Design Principles, Patterns</t>
  </si>
  <si>
    <t>Design Patterns and Principles</t>
  </si>
  <si>
    <t>Data structures and Algorithms</t>
  </si>
  <si>
    <t>Data Structures and Algorithms</t>
  </si>
  <si>
    <t>Tools</t>
  </si>
  <si>
    <t>SCM</t>
  </si>
  <si>
    <t>GIT</t>
  </si>
  <si>
    <t>Docker</t>
  </si>
  <si>
    <t>Sprints</t>
  </si>
  <si>
    <t>Key Performance Outcomes</t>
  </si>
  <si>
    <t>Topics</t>
  </si>
  <si>
    <t>Sub-Topics</t>
  </si>
  <si>
    <t>Agile Methodology</t>
  </si>
  <si>
    <t>Introduction to Agile</t>
  </si>
  <si>
    <t>Overview of Agile principles and values, Comparison with traditional waterfall methodology</t>
  </si>
  <si>
    <t>Agile Manifesto</t>
  </si>
  <si>
    <t>Understanding the four Agile values and twelve principles, Exploring how these values and principles guide Agile practices</t>
  </si>
  <si>
    <t>Scrum Framework</t>
  </si>
  <si>
    <t>Roles in Scrum (Product Owner, Scrum Master, Development Team), Scrum ceremonies (Sprint Planning, Daily Stand-up, Sprint Review, Sprint Retrospective), Scrum artifacts (Product Backlog, Sprint Backlog, Increment)</t>
  </si>
  <si>
    <t>Agile Estimation and Planning</t>
  </si>
  <si>
    <t>Techniques for Agile estimation (Story Points, Planning Poker), Agile planning techniques (Release Planning, Iteration Planning)</t>
  </si>
  <si>
    <t>Agile User Stories</t>
  </si>
  <si>
    <t>Writing effective user stories, Acceptance criteria for user stories</t>
  </si>
  <si>
    <t>Agile Metrics and Reporting</t>
  </si>
  <si>
    <t>Key Agile metrics (Velocity, Burndown Charts), Reporting progress in Agile projects</t>
  </si>
  <si>
    <t>Introduction to Version Control</t>
  </si>
  <si>
    <t>Understanding Git</t>
  </si>
  <si>
    <t>Setting Up Git</t>
  </si>
  <si>
    <t>Basic Git Commands</t>
  </si>
  <si>
    <t>Branching and Merging</t>
  </si>
  <si>
    <t>Remote Repositories</t>
  </si>
  <si>
    <t>Collaborating with Git</t>
  </si>
  <si>
    <t>Introduction to Angular and Setting Up Environment</t>
  </si>
  <si>
    <t>Overview of Angular, Setting Up the Development Environment-Installing Angular CLI and Creating a New Angular Project, Angular Project Structure and Files, Running and Building Angular Applications</t>
  </si>
  <si>
    <t>Angular Components</t>
  </si>
  <si>
    <t>Creating Components, Component Interaction - Data Binding: Property Binding, Event Binding, and Two-way Binding, Component Lifecycle Hooks (ngOnInit, ngOnChanges, etc.), Parent-Child Component Communication (@Input and @Output)</t>
  </si>
  <si>
    <t>Directives and Pipes</t>
  </si>
  <si>
    <t>Built-in Directives - Structural Directives: *ngIf, *ngFor, and *ngSwitch, Attribute Directives: ngClass, ngStyle, ngModel, Custom Directives, Pipes - Built-in Pipes (e.g., date, uppercase, currency), Creating Custom Pipes</t>
  </si>
  <si>
    <t>Angular Forms</t>
  </si>
  <si>
    <t>Template-driven Forms - Basics of Template-driven Forms and Form Validation, Binding Data with ngModel and Handling Form Submission Reactive Forms - Setting Up Reactive Forms with FormBuilder, Form Control, FormGroup, and FormArray, Reactive Form Validation (Built-in Validators, Custom Validators)</t>
  </si>
  <si>
    <t>Dependency Injection and Services</t>
  </si>
  <si>
    <t>Introduction to Dependency Injection, Creating and Using Services, Hierarchical Dependency Injection</t>
  </si>
  <si>
    <t>Angular Routing and Navigation</t>
  </si>
  <si>
    <t>Setting Up Routing - Configuring Routes in app-routing.module.ts, Route Parameters and Query Parameters, Nested Routes and Lazy Loading Modules</t>
  </si>
  <si>
    <t>Router Features</t>
  </si>
  <si>
    <t>Router Guards: CanActivate, CanDeactivate, Resolve, Router Events and Navigation Lifecycle, Passing Data Between Routes</t>
  </si>
  <si>
    <t>HTTP Client and APIs</t>
  </si>
  <si>
    <t>Using Angular HTTP Client - Setting Up HTTPClientModule and Making HTTP Requests, GET, POST, PUT, DELETE Requests with HTTP Client , Handling API Responses - Observables and Promises in Angular, Error Handling and Retry Strategies, Interceptors for Modifying Requests and Responses</t>
  </si>
  <si>
    <t>State Management in Angular</t>
  </si>
  <si>
    <t>Introduction to State Management, Using Services for State Management, NgRx for Advanced State Management</t>
  </si>
  <si>
    <t>Reactive Programming with RxJS</t>
  </si>
  <si>
    <t>RxJS Observables and Operators, Reactive Patterns in Angular</t>
  </si>
  <si>
    <t>Testing Angular Applications</t>
  </si>
  <si>
    <t>Unit Testing with Jasmine and Karma, Component and Service Testing, End-to-End (E2E) Testing</t>
  </si>
  <si>
    <t>Introduction to Node.js</t>
  </si>
  <si>
    <t>Overview of Node.js and its role in web development, Node.js architecture: Single-threaded, non-blocking I/O, Node.js Module System - Understanding modules and require(), Exporting and importing modules</t>
  </si>
  <si>
    <t>Core Node.js Modules</t>
  </si>
  <si>
    <t>Asynchronous Programming Basics</t>
  </si>
  <si>
    <t>Debugging Angular Applications with Chrome DevTools</t>
  </si>
  <si>
    <t>Setting Up the Environment, Launching the Application, Opening Chrome DevTools, Inspecting Elements, Debugging JavaScript, Debugging Angular Code</t>
  </si>
  <si>
    <t>Debugging with Visual Studio Code</t>
  </si>
  <si>
    <t>Installing Angular Extension, Attaching Visual Studio Code Debugger, Breakpoints and Watches, Debugging State Management</t>
  </si>
  <si>
    <t>Getting Started</t>
  </si>
  <si>
    <t>Introduction to SQL Server, SQL Server Editions, Key Components and Services of SQL Server, SQL Server Instances, SQL Server Management Studio</t>
  </si>
  <si>
    <t>Triggers and Cursors</t>
  </si>
  <si>
    <t>What are Triggers?, When we use Triggers?, Types of SQL Server Triggers, DML Triggers - After Triggers,Instead Of Triggers, Logon Triggers, Create Trigger, Modify Triggers using SSMS, DELETE Triggers,  Advantages of Triggers, Disadvantages of Triggers, What are Cursors?, Life Cycle of the Cursor, Uses of SQL Server Cursor, Types of Cursors in SQL Server, Limitations of SQL Server Cursor, Alternates to Cursor</t>
  </si>
  <si>
    <t>Exception Handling</t>
  </si>
  <si>
    <t>What are Exceptions?, Types of SQL Server Exceptions - System Defined, User Defined, Retrieving detailed information on the error,  TRY/CATCH, Using Nested TRY...CATCH Constructs,THROW and RAISERROR</t>
  </si>
  <si>
    <t>Transactions</t>
  </si>
  <si>
    <t>What are transactions?, ACID Properties, Transaction States, Transaction Management Statements, Savepoints, Implicit vs. Explicit Transactions, Nested Transactions, Transaction Isolation Levels, Locking and Blocking, Transaction Deadlocks</t>
  </si>
  <si>
    <t>Overview of EF Core 8 and .NET 8 Integration</t>
  </si>
  <si>
    <t>What is ORM (Object-Relational Mapping)?, EF Core vs EF Framework: Key Differences, New Features in EF Core 8</t>
  </si>
  <si>
    <t>Setting up EF Core in a .NET 8 Project</t>
  </si>
  <si>
    <t>Installing EF Core Packages via NuGet, Configuring DbContext, Connecting to SQL Server, Basic EF Core CLI Commands (Add Migration, Update Database)</t>
  </si>
  <si>
    <t>Creating a Simple Database Model</t>
  </si>
  <si>
    <t>Defining Entities and Relationships
Primary Keys, Foreign Keys, and Navigation Properties, Code-First Approach Overview</t>
  </si>
  <si>
    <t>Performing Basic CRUD Operations</t>
  </si>
  <si>
    <t>Inserting Records into the Database (AddAsync), Retrieving Data with Find, FirstOrDefault, and ToListAsync, Updating Records and Tracking Changes, Deleting Records (Remove vs DeleteRange)</t>
  </si>
  <si>
    <t>LINQ Queries in EF Core 8</t>
  </si>
  <si>
    <t>Writing Queries Using Where, Select, and OrderBy, Projection into DTOs (Data Transfer Objects), Filtering and Aggregating Data, Asynchronous Queries with ToListAsync()</t>
  </si>
  <si>
    <t>EF Core Migrations and Database Updates</t>
  </si>
  <si>
    <t>Adding, Removing, and Updating Migrations, Seeding Data during Migrations, Managing Database Schema Changes</t>
  </si>
  <si>
    <t>Handling Relationships and Data Loading</t>
  </si>
  <si>
    <t>Eager, Lazy, and Explicit Loading Explained, Configuring One-to-One, One-to-Many, and Many-to-Many Relationships, Navigating Circular References</t>
  </si>
  <si>
    <t>Performance Optimizations and Best Practices</t>
  </si>
  <si>
    <t>Query Caching and Tracking Behavior (AsNoTracking), Batch Processing and Bulk Operations, Handling Concurrency with RowVersion Columns, Using Compiled Queries for Performance Boost</t>
  </si>
  <si>
    <t>Introduction to ASP.NET Core 8</t>
  </si>
  <si>
    <t>Overview of ASP.NET Core 8 and .NET 8, ASP.NET Core vs .NET Framework, Installing SDKs and Setting up Visual Studio / VS Code</t>
  </si>
  <si>
    <t>Creating a New ASP.NET Core Project</t>
  </si>
  <si>
    <t>Introduction to Project Templates (MVC vs API vs Minimal APIs), Setting Up a Basic MVC Project, Project Structure Overview (Controllers, Views, Models, wwwroot)</t>
  </si>
  <si>
    <t>Understanding MVC Architecture</t>
  </si>
  <si>
    <t>Role of Models, Views, and Controllers, Lifecycle of a Request in an MVC Application</t>
  </si>
  <si>
    <t>Working with Models</t>
  </si>
  <si>
    <t>Creating Models with C# Classes, Strongly-Typed Views and ViewModel Patterns, Data Annotations and Validation</t>
  </si>
  <si>
    <t>Building Controllers</t>
  </si>
  <si>
    <t>Creating and Registering Controllers, Handling Requests with Action Methods, Using Parameters in Controller Actions</t>
  </si>
  <si>
    <t>Designing Views in ASP.NET Core</t>
  </si>
  <si>
    <t>Razor View Engine and Razor Syntax, Layout Views and Partial Views, Adding CSS and JavaScript Files</t>
  </si>
  <si>
    <t>Routing in ASP.NET Core</t>
  </si>
  <si>
    <t>Convention-based Routing vs Attribute Routing, Route Constraints and Custom Routes, Generating URLs using Tag Helpers</t>
  </si>
  <si>
    <t>Working with Forms and User Input</t>
  </si>
  <si>
    <t>Designing Forms with Razor Pages, Handling Form Submission in Controllers, Model Binding and Model Validation</t>
  </si>
  <si>
    <t>State Management</t>
  </si>
  <si>
    <t>Managing State with Session and Cookies, TempData and ViewData for Short-term Data Storage, Managing Authentication State</t>
  </si>
  <si>
    <t>Integrating EF Core 8 with ASP.NET Core</t>
  </si>
  <si>
    <t>Configuring Database Connections, Performing CRUD Operations with EF Core, Using Migrations to Manage Database Schema</t>
  </si>
  <si>
    <t>Dependency Injection (DI) in ASP.NET Core</t>
  </si>
  <si>
    <t>Understanding the DI Container, Registering Services in the DI Container, Injecting Services into Controllers</t>
  </si>
  <si>
    <t>Publishing and Deployment</t>
  </si>
  <si>
    <t>Configuring the AppSettings File for Production, Publishing the Application (IIS, Azure, or Docker), Managing Environment-Specific Configurations</t>
  </si>
  <si>
    <t>ASP.NET Core 8 Web API</t>
  </si>
  <si>
    <t>Introduction to Web APIs and ASP.NET Core</t>
  </si>
  <si>
    <t>Overview of Web APIs, REST vs. SOAP, Setting up .NET 8 Development Environment, ASP.NET Core Web API project structure</t>
  </si>
  <si>
    <t>Building RESTful APIs with ASP.NET Core</t>
  </si>
  <si>
    <t>Creating controllers, actions, and routes, CRUD operations with Entity Framework Core, JSON formatting and serialization</t>
  </si>
  <si>
    <t>Advanced API Features</t>
  </si>
  <si>
    <t>Attribute routing and query parameters, Middleware and custom filters, Implementing JWT-based authentication and authorization</t>
  </si>
  <si>
    <t>Consuming and Creating SOAP Services</t>
  </si>
  <si>
    <t>Introduction to SOAP APIs and WCF, Consuming SOAP services in ASP.NET Core, Creating SOAP services using WCF</t>
  </si>
  <si>
    <t>API Security and Exception Handling</t>
  </si>
  <si>
    <t>Global exception handling and error responses, Logging with Serilog, Securing APIs with API keys and Oauth</t>
  </si>
  <si>
    <t>API Documentation and Testing</t>
  </si>
  <si>
    <t>Integrating Swagger/OpenAPI for API documentation, Using Postman for manual API testing, Automating API testing with REST Client</t>
  </si>
  <si>
    <t>Introduction to Microservices Architecture</t>
  </si>
  <si>
    <t>Overview of microservices architecture, Advantages and challenges of microservices, Comparison with monolithic architecture, Setting up an ASP.NET Core Web API project</t>
  </si>
  <si>
    <t>Microservice Communication and Data Management</t>
  </si>
  <si>
    <t>Security, Monitoring, and Deployment</t>
  </si>
  <si>
    <t>Authentication and authorization in microservices, Implementing JWT (JSON Web Tokens) authentication, Securing ASP.NET Core Web API endpoints, Importance of monitoring and logging in microservices, Logging strategies in ASP.NET Core Web API, Implementing health checks and metrics endpoints, Deployment strategies for microservices (rolling updates, blue-green deployments), Setting up CI/CD pipelines with Azure DevOps or GitHub Actions, Automating deployment with Docker and Kubernetes</t>
  </si>
  <si>
    <t>Application Debugging-Backend</t>
  </si>
  <si>
    <t>Overview of Web API Debugging</t>
  </si>
  <si>
    <t>Debugging in Visual Studio</t>
  </si>
  <si>
    <t>Handling Exceptions</t>
  </si>
  <si>
    <t>Using Postman for API Testing</t>
  </si>
  <si>
    <t>Debugging API Calls with Postman</t>
  </si>
  <si>
    <t>Advanced Debugging Techniques</t>
  </si>
  <si>
    <t>What is Automated Testing, Benifits of Automated Testing, Types of Tests, Test Pyramid, Popular Testing Frameworks, Using NUnit in Visual Studio, What is Test-Driven Development</t>
  </si>
  <si>
    <t>Fundamentals of Unit Testing</t>
  </si>
  <si>
    <t>Characteristics of Good Unit Tests, What to Test and What Not to Test, Naming and Organizing Tests, Black-box Testing, Set Up and Tear Down, Parameterized Tests, Ignoring Tests, Writing Trustworthy Tests</t>
  </si>
  <si>
    <t>Core Unit Testing Techniques</t>
  </si>
  <si>
    <t>Testing Strings, Testing Arrays and Collections, Testing Return Type of Methods, Testing Void Methods, Testing Methods that Throw Exceptions, Testing Private Methods, Code Coverage</t>
  </si>
  <si>
    <t>Breaking External Dependencies</t>
  </si>
  <si>
    <t>Loosely-coupled and Testable Code, Refactoring Towards a Loosely-coupled Design, Dependency Injection via Method Parameters, Dependency Injection via Properties, Dependency Injection via Constructor, Dependency Injection Frameworks, Mocking Frameworks, Creating Mock Objects Using Moq, State-based vs. Interaction Testing, Testing the Interaction Between Two Objects</t>
  </si>
  <si>
    <t>Overview of Code Analysis</t>
  </si>
  <si>
    <t>Introduction to Visual Studio's built-in code analysis tools, Purpose and benefits of code analysis in the development process</t>
  </si>
  <si>
    <t>Enabling and Configuring Code Analysis</t>
  </si>
  <si>
    <t>Enabling and configuring code analysis for projects in Visual Studio</t>
  </si>
  <si>
    <t>Code Metrics</t>
  </si>
  <si>
    <t>Understanding and interpreting code metrics, including cyclomatic complexity and maintainability index</t>
  </si>
  <si>
    <t>Code Analyzers and Diagnostics</t>
  </si>
  <si>
    <t>Overview of code analyzers and diagnostics in Visual Studio, Customizing rule sets for code analysis</t>
  </si>
  <si>
    <t>Common Code Analysis Rules</t>
  </si>
  <si>
    <t>Understanding and applying common code analysis rules, Adhering to best practices for code quality and maintainability</t>
  </si>
  <si>
    <t>Code Analysis in Code Reviews</t>
  </si>
  <si>
    <t>Using code analysis results as part of code reviews</t>
  </si>
  <si>
    <t>Introduction to Logging in .NET 8</t>
  </si>
  <si>
    <t>Importance of logging in application development, Overview of the built-in logging framework in .NET 8</t>
  </si>
  <si>
    <t>Configuring Logging in .NET 8</t>
  </si>
  <si>
    <t>Setting up logging in the Program.cs file, Configuring log providers, such as Console and Debug</t>
  </si>
  <si>
    <t>Logging Levels and Categories</t>
  </si>
  <si>
    <t>Understanding different logging levels (Information, Warning, Error, Debug), Categorizing logs for better organization</t>
  </si>
  <si>
    <t>Logging in Controllers and Services</t>
  </si>
  <si>
    <t>Injecting ILogger&lt;T&gt; in controllers and services, Using ILogger to log messages and events</t>
  </si>
  <si>
    <t>Log Filtering and Configuration</t>
  </si>
  <si>
    <t xml:space="preserve">Configuring log filtering in appsettings.json, Fine-tuning log output based on severity and categories  </t>
  </si>
  <si>
    <t>Introduction to log4net</t>
  </si>
  <si>
    <t>Introduction to log4net as a logging framework, Benefits of using a logging framework like log4net</t>
  </si>
  <si>
    <t>Basic Logging with log4net</t>
  </si>
  <si>
    <t>Initializing log4net, Logging Levels in log4net, Logging Messages</t>
  </si>
  <si>
    <t>Introduction</t>
  </si>
  <si>
    <t>What is Docker?, What is a Virtual Machine?, Docker vs. Virtual Machine, Docker Editions - Community, Enterprise</t>
  </si>
  <si>
    <t>Docker Commands</t>
  </si>
  <si>
    <t>Basic Docker Commands - Run, ps, stop, rm, images, rmi, pull, Append a command, Exec</t>
  </si>
  <si>
    <t>Docker Run</t>
  </si>
  <si>
    <t>How to Use the docker run Command, Run a Container Under a Specific Name, Run a Container in the Background (Detached Mode), Run a Container Interactively, Run a Container and Publish Container Ports, Run a Docker Container and Remove it Once the Process is Complete</t>
  </si>
  <si>
    <t>Docker Images</t>
  </si>
  <si>
    <t>What is a Docker Image?, Image Layers, Container Layer, Parent Image, Base Image, Docker Manifest, Container Registries, Container Repositories, How to Create a Docker Image - Interactive Method, Dockerfile Method, The Docker Build Context</t>
  </si>
  <si>
    <t>Docker Compose</t>
  </si>
  <si>
    <t>What is Docker Compose?, Benefits of Docker Compose, Basic Commands in Docker Compose, Install Docker Compose, Create the Compose file,The YAML Configuration file</t>
  </si>
  <si>
    <t>Docker Registry</t>
  </si>
  <si>
    <t>What it is?, Why use it, Alternatives, Basic commands</t>
  </si>
  <si>
    <t>Docker Engine</t>
  </si>
  <si>
    <t>What is it?, Docker Engine-Docker CLI, REST API, Docker Deamon</t>
  </si>
  <si>
    <t>Docker Storage</t>
  </si>
  <si>
    <t>Storage Drivers, Data Volumes, Changing the Storage Driver for a Container, Creating a Volume, Listing all the Volumes</t>
  </si>
  <si>
    <t>Docker Networking</t>
  </si>
  <si>
    <t>Default Networks, Listing All Docker Networks, Inspecting a Docker network, Creating Your Own New Network</t>
  </si>
  <si>
    <t>Container Orchastration</t>
  </si>
  <si>
    <t>What is container orchestration?, Why do we need container orchestration?, What are the benefits of container orchestration?, What is Kubernetes container orchestration?, Container orchestration versus Docker</t>
  </si>
  <si>
    <t>Introduction to the Cloud</t>
  </si>
  <si>
    <t xml:space="preserve">What is the Cloud?, Characteristics of the Cloud, CapEx vs OpEx, IaaS, PaaS, SaaS, Types of  Clouds, Main Cloud Providers </t>
  </si>
  <si>
    <t>Introduction to Azure</t>
  </si>
  <si>
    <t>Introduction, Regions and Zones, Azure Services, Creating Account, The Azure Portal, Account and Subscription, Creating a Resource, Finding a Resource, Removing a Resource, Azure CLI &amp; PowerShell</t>
  </si>
  <si>
    <t>Azure Basic Concepts</t>
  </si>
  <si>
    <t>Regions, Resource Groups, Storage Accounts, SLA, SLA Calculators, Cost</t>
  </si>
  <si>
    <t>Azure Compute</t>
  </si>
  <si>
    <t>Virtual Machines, Creating Virtual Machine, ARM Template, Using ARM Template, Deleting Virtual Machines, Virtual Machine Scale Set, Azure Instance Metadata Services, App Services, App Service Tiers, Auto Scaling App Service, Deployment Slots, Deployment Types, AKS, Containers, Introduction to Docker, Containers Management, Introduction to Kubernetes, Working with Azure Container Registry, Working with Containers, Working with AKS, Azure Functions, Running Functions Locally, How to Choose Compute Type?</t>
  </si>
  <si>
    <t>Azure Networking</t>
  </si>
  <si>
    <t>Networking in Azure, Virtual Networks, Subnets, Creating a Virtual Network, Working with Vnets, Secure VM Access, Service Endpoint vs Private Link, Access Restrictions, Load Balancer, Application Gateway, Creating Application Gateway</t>
  </si>
  <si>
    <t>Data in Azure</t>
  </si>
  <si>
    <t>Introduction, Database on VM, Azure SQL, Creating and Connecting to Azure SQL, Cosmos DB, SQL vs NoSQL Databases, Creating and Using Cosmos DB, Azure Storage, Creating and Using Storage Account, CDN and Automation</t>
  </si>
  <si>
    <t>Messaging in Azure</t>
  </si>
  <si>
    <t>Storage Queue, Using Storage Queue, Event Grid, Service Bus, Using Service Bus, Event Hubs, Using Event Hubs</t>
  </si>
  <si>
    <t>Azure Active Directory</t>
  </si>
  <si>
    <t>Introduction, Tenants, Users and Groups, Working with Users and Groups, MFA, Security Defaults, RBAC, Azure Roles, Using Azure Roles, Oauth&amp;JWT</t>
  </si>
  <si>
    <t>Introduction to Azure DevOps</t>
  </si>
  <si>
    <t>Overview of Azure DevOps services, Key components (Azure Boards, Azure Repos, Azure Pipelines, Azure Test Plans, Azure Artifacts), Creating an Azure DevOps account and organization</t>
  </si>
  <si>
    <t>Azure Repos</t>
  </si>
  <si>
    <t>Git basics, Creating and managing repositories, Branching and merging strategies, Git workflows, Working with pull requests</t>
  </si>
  <si>
    <t>Azure Boards</t>
  </si>
  <si>
    <t>Work item types (User Stories, Tasks, Bugs), Agile and Scrum methodologies, Kanban boards and sprints, Backlogs and planning</t>
  </si>
  <si>
    <t>Azure Pipelines Basics</t>
  </si>
  <si>
    <t>Introduction to CI/CD, Building blocks of a pipeline, YAML vs. Visual Designer, Triggers and variables, Agent pools and jobs</t>
  </si>
  <si>
    <t>Advanced Azure Pipelines</t>
  </si>
  <si>
    <t>Multi-stage pipelines, Dependency management, Pipeline templates, Environments and approvals, Deployment strategies</t>
  </si>
  <si>
    <t>Azure Release Pipelines</t>
  </si>
  <si>
    <t>Introduction to Release Pipelines, Deployment environments, Deployment gates and approvals, Variables and configuration</t>
  </si>
  <si>
    <t>Azure Test Plans</t>
  </si>
  <si>
    <t>Introduction to testing in Azure DevOps, Test plans and test suites, Manual testing, Automated testing integration, Test reporting and analysis</t>
  </si>
  <si>
    <t>Session Name</t>
  </si>
  <si>
    <t>Module</t>
  </si>
  <si>
    <t>Week 1</t>
  </si>
  <si>
    <t>Business communication</t>
  </si>
  <si>
    <t>Email Etiquette</t>
  </si>
  <si>
    <t>Cognorator - Verbal Communication</t>
  </si>
  <si>
    <t>Group Discussion</t>
  </si>
  <si>
    <t>Week 2</t>
  </si>
  <si>
    <t>Learning Agility</t>
  </si>
  <si>
    <t>Problem Solving and Critical Thinking</t>
  </si>
  <si>
    <t>Debate</t>
  </si>
  <si>
    <t>Week 3</t>
  </si>
  <si>
    <t>Conference call</t>
  </si>
  <si>
    <t>Basic English</t>
  </si>
  <si>
    <t>Tenses and SVA</t>
  </si>
  <si>
    <t>Week 4</t>
  </si>
  <si>
    <t>Story Telling</t>
  </si>
  <si>
    <t>Business Communication</t>
  </si>
  <si>
    <t>Email and Chat coaching</t>
  </si>
  <si>
    <t>Week 5 - Before Interim Evaluation</t>
  </si>
  <si>
    <t>Interview Clinic</t>
  </si>
  <si>
    <t>Interview Skills</t>
  </si>
  <si>
    <t>Mock Interview</t>
  </si>
  <si>
    <t>Week 5</t>
  </si>
  <si>
    <t>Coaching</t>
  </si>
  <si>
    <t>Article and basic grammar &amp; SVA, Parts of speech</t>
  </si>
  <si>
    <t>In a nutshell</t>
  </si>
  <si>
    <t>Week 7</t>
  </si>
  <si>
    <t>Conference call coahing</t>
  </si>
  <si>
    <t>week 8</t>
  </si>
  <si>
    <t>Presentation Skills</t>
  </si>
  <si>
    <t>Week 8 - Before Final Evaluation</t>
  </si>
  <si>
    <t>Client interfacing Skills</t>
  </si>
  <si>
    <t>Effective communication and Team work</t>
  </si>
  <si>
    <t>Project Simulation</t>
  </si>
  <si>
    <t>Client interfacing, stakeholder management etc</t>
  </si>
  <si>
    <t>Course/Assessment</t>
  </si>
  <si>
    <t>Coverage</t>
  </si>
  <si>
    <t>• The foundational knowledge and skills required to harness the power of Generative AI.
• The ability to identify opportunities for innovation and implementation of AI within their organizations.
• The skills to drive organizations toward a future of enhanced creativity and competitive advantage using AI techniques</t>
  </si>
  <si>
    <t>• This assessment is to assess the knowledge of associates on Generative AI tools and concepts at a Beginner proficiency.</t>
  </si>
  <si>
    <t>• Overview of Responsible AI</t>
  </si>
  <si>
    <t>This course focuses on Cognizant's four key principles of Responsible AI:
• Fair and Inclusive
• Accountable
• Safe, Secure, and Privacy-Enhanced
• Transparent and Explainable</t>
  </si>
  <si>
    <t>Sprint 0</t>
  </si>
  <si>
    <t>Software Development Methodology</t>
  </si>
  <si>
    <t>Project Management &amp; Agile Tools</t>
  </si>
  <si>
    <t>Jira Basics</t>
  </si>
  <si>
    <t>Version Control</t>
  </si>
  <si>
    <t>Front-End Development</t>
  </si>
  <si>
    <t>Relational Databases &amp; SQL</t>
  </si>
  <si>
    <t>Programming Language (C#)</t>
  </si>
  <si>
    <t>Programming Fundamentals &amp; Problem Solving</t>
  </si>
  <si>
    <t>Software Architecture &amp; Design</t>
  </si>
  <si>
    <t>Backend Framework</t>
  </si>
  <si>
    <t>Sprint 1</t>
  </si>
  <si>
    <t>Entity Framework Core 8.0</t>
  </si>
  <si>
    <t>ORM &amp; Data Persistence</t>
  </si>
  <si>
    <t>RESTful API Development</t>
  </si>
  <si>
    <t>Debugging &amp; Troubleshooting</t>
  </si>
  <si>
    <t>Testing &amp; Test-Driven Development</t>
  </si>
  <si>
    <t>Logging &amp; Static Code Analysis</t>
  </si>
  <si>
    <t>JavaScript Runtime Environment</t>
  </si>
  <si>
    <t>Node.js Fundamentals</t>
  </si>
  <si>
    <t>Front-End Toolkit</t>
  </si>
  <si>
    <t>Bootstrap 5</t>
  </si>
  <si>
    <t>Front-End Framework (SPA)</t>
  </si>
  <si>
    <t>Microservices with ASP.NET Core</t>
  </si>
  <si>
    <t>SonarQube</t>
  </si>
  <si>
    <t>Gen AI - Code Companion Tools</t>
  </si>
  <si>
    <t>GitHub Copilot</t>
  </si>
  <si>
    <t>Code Quality &amp; Static Analysis</t>
  </si>
  <si>
    <t>TypeScript Basics</t>
  </si>
  <si>
    <t>Week 6-7</t>
  </si>
  <si>
    <t>Sprint 2 – API Development &amp; Testing</t>
  </si>
  <si>
    <t>REST API Development,Backend Debugging,Unit Testing,Code Quality</t>
  </si>
  <si>
    <t>• Develop RESTful APIs
• Write unit tests using NUnit &amp; Moq
• Integrate logging and static code analysis</t>
  </si>
  <si>
    <t>• Sprint Planning 1 hour (Day 1 of Week 6)
• Daily Stand-ups 15 minutes each (Days 2–5 each week)
• Sprint Review &amp; Retrospective (Day 5 of Week 7)</t>
  </si>
  <si>
    <t>• Postman
• Nunit
• Moq
• Serilog
• SonarQube</t>
  </si>
  <si>
    <t>Sprint 3 – Microservices &amp; Containerization</t>
  </si>
  <si>
    <t>Microservices Architecture,Containerization</t>
  </si>
  <si>
    <t>• Docker Desktop
• ASP.Net Core SDK 8</t>
  </si>
  <si>
    <t>Week 8-9</t>
  </si>
  <si>
    <t>• Sprint Planning 1 hour (Day 1 of Week 8)
• Daily Stand-ups 15 minutes each (Days 2–5 each week)
• Sprint Review &amp; Retrospective (Day 3 of Week 9)</t>
  </si>
  <si>
    <t>Sprint 4 – Front-End Development</t>
  </si>
  <si>
    <t>Week 10–12</t>
  </si>
  <si>
    <t>SPA Development,Front-End Debugging,UI Toolkit Integration</t>
  </si>
  <si>
    <t>• Build Angular SPA with Bootstrap
• Debug front-end issues
• Integrate REST APIs with Angular</t>
  </si>
  <si>
    <t>• Node.js
• Angular CLI
• VS Code
• Chrome DevTools
• Bootstrap</t>
  </si>
  <si>
    <t>• Sprint Planning 1 hour (Day 1 of Week 10)
• Daily Stand-ups 15 minutes each (Days 2–5 each week)
• Sprint Review &amp; Retrospective (Day 3 of Week 12)</t>
  </si>
  <si>
    <t>Sprint 5 – Cloud &amp; DevOps</t>
  </si>
  <si>
    <t>Week 13-14</t>
  </si>
  <si>
    <t>ASP.Net Core 8.0 Web API
Application Debugging - Backend
NUnit, Moq
Code Analysis &amp; Logging</t>
  </si>
  <si>
    <t>2.4 Weeks</t>
  </si>
  <si>
    <t>1.51 Weeks</t>
  </si>
  <si>
    <t>Microservices with ASP.Net Core
Docker Basics</t>
  </si>
  <si>
    <t>1.2 Weeks</t>
  </si>
  <si>
    <t>Cloud Deployment,DevOps Practices,Code Quality</t>
  </si>
  <si>
    <t>• Deploy microservices to Azure
• Integrate SonarQube for code analysis</t>
  </si>
  <si>
    <t>• Azure Portal
• SonarQube
• GitHub Actions</t>
  </si>
  <si>
    <t>• Sprint Planning 1 hour (Day 1 of Week 13)
• Daily Stand-ups 15 minutes each (Days 2–5 each week)
• Sprint Review &amp; Retrospective 1 hour (Day 2 of Week 14)</t>
  </si>
  <si>
    <t>Cloud and DevOps Basics using Azure
SonarQube</t>
  </si>
  <si>
    <t>• Design and implement RESTful APIs using ASP.NET Core 8.0 Web API with proper routing, controllers, and data handling.
• Secure APIs using authentication and authorization mechanisms and integrate them with front-end applications.
• Identify and resolve runtime errors, exceptions, and performance bottlenecks in backend applications using debugging tools.
• Use logging frameworks and diagnostic tools to trace and troubleshoot issues in production-like environments.
• Write unit tests using NUnit to validate business logic and ensure code reliability.
• Use Moq to create mock dependencies for isolated testing of components and services.
• Perform static code analysis to detect code smells, vulnerabilities, and maintainability issues.
• Implement structured logging strategies using tools like Serilog to monitor application behavior and support debugging.</t>
  </si>
  <si>
    <t>• Design and implement microservices using ASP.NET Core, enabling scalable, modular, and independently deployable services.
• Containerize applications using Docker and manage container lifecycles for consistent deployment across environments.</t>
  </si>
  <si>
    <t>• Describe cloud service models, Azure infrastructure, and DevOps workflows including CI/CD, version control, and automated deployments.
• Build and automate deployment pipelines using Azure DevOps or GitHub Actions, integrating build, test, and release stages.
• Use Azure Monitor, Application Insights, and Log Analytics to track performance, diagnose issues, and optimize resource usage.
• Understand how SonarQube identifies code smells, bugs, and vulnerabilities in .NET applications.
• Configure SonarQube with build tools and CI/CD pipelines to enforce coding standards and maintain code health.
• Analyze metrics such as code coverage, duplication, and complexity, and refactor code based on actionable insights.</t>
  </si>
  <si>
    <t>Angular (v20.0)</t>
  </si>
  <si>
    <t>Awareness</t>
  </si>
  <si>
    <r>
      <rPr>
        <b/>
        <sz val="11"/>
        <color rgb="FF000000"/>
        <rFont val="Arial"/>
        <family val="2"/>
      </rPr>
      <t>Version Control Concepts</t>
    </r>
    <r>
      <rPr>
        <sz val="11"/>
        <color rgb="FF000000"/>
        <rFont val="Arial"/>
        <family val="2"/>
      </rPr>
      <t>-Definition and Purpose, Benefits of Version Control, Types of Version Control Systems</t>
    </r>
  </si>
  <si>
    <r>
      <rPr>
        <b/>
        <sz val="11"/>
        <color rgb="FF000000"/>
        <rFont val="Arial"/>
        <family val="2"/>
      </rPr>
      <t>What is Git</t>
    </r>
    <r>
      <rPr>
        <sz val="11"/>
        <color rgb="FF000000"/>
        <rFont val="Arial"/>
        <family val="2"/>
      </rPr>
      <t xml:space="preserve">-Introduction to Git, Git as a Distributed Version Control System (DVCS); </t>
    </r>
    <r>
      <rPr>
        <b/>
        <sz val="11"/>
        <color rgb="FF000000"/>
        <rFont val="Arial"/>
        <family val="2"/>
      </rPr>
      <t>Git Components</t>
    </r>
    <r>
      <rPr>
        <sz val="11"/>
        <color rgb="FF000000"/>
        <rFont val="Arial"/>
        <family val="2"/>
      </rPr>
      <t>-Working Directory, Staging Area, Repository</t>
    </r>
  </si>
  <si>
    <r>
      <rPr>
        <b/>
        <sz val="11"/>
        <color rgb="FF000000"/>
        <rFont val="Arial"/>
        <family val="2"/>
      </rPr>
      <t>Installing Git</t>
    </r>
    <r>
      <rPr>
        <sz val="11"/>
        <color rgb="FF000000"/>
        <rFont val="Arial"/>
        <family val="2"/>
      </rPr>
      <t xml:space="preserve">-Download and Installation Steps, Configuring Basic Settings (username, email); </t>
    </r>
    <r>
      <rPr>
        <b/>
        <sz val="11"/>
        <color rgb="FF000000"/>
        <rFont val="Arial"/>
        <family val="2"/>
      </rPr>
      <t>Creating a Git Repository</t>
    </r>
    <r>
      <rPr>
        <sz val="11"/>
        <color rgb="FF000000"/>
        <rFont val="Arial"/>
        <family val="2"/>
      </rPr>
      <t xml:space="preserve">-Initializing a New Repository, Cloning an Existing Repository; </t>
    </r>
  </si>
  <si>
    <r>
      <rPr>
        <b/>
        <sz val="11"/>
        <color rgb="FF000000"/>
        <rFont val="Arial"/>
        <family val="2"/>
      </rPr>
      <t xml:space="preserve">git init and git clone </t>
    </r>
    <r>
      <rPr>
        <sz val="11"/>
        <color rgb="FF000000"/>
        <rFont val="Arial"/>
        <family val="2"/>
      </rPr>
      <t xml:space="preserve">- Initializing a New Repository, Cloning an Existing Repository; </t>
    </r>
    <r>
      <rPr>
        <b/>
        <sz val="11"/>
        <color rgb="FF000000"/>
        <rFont val="Arial"/>
        <family val="2"/>
      </rPr>
      <t>git add</t>
    </r>
    <r>
      <rPr>
        <sz val="11"/>
        <color rgb="FF000000"/>
        <rFont val="Arial"/>
        <family val="2"/>
      </rPr>
      <t xml:space="preserve">-Staging Changes, Using Wildcards; </t>
    </r>
    <r>
      <rPr>
        <b/>
        <sz val="11"/>
        <color rgb="FF000000"/>
        <rFont val="Arial"/>
        <family val="2"/>
      </rPr>
      <t>git commit</t>
    </r>
    <r>
      <rPr>
        <sz val="11"/>
        <color rgb="FF000000"/>
        <rFont val="Arial"/>
        <family val="2"/>
      </rPr>
      <t xml:space="preserve">-Committing Changes, Adding Commit Messages; </t>
    </r>
    <r>
      <rPr>
        <b/>
        <sz val="11"/>
        <color rgb="FF000000"/>
        <rFont val="Arial"/>
        <family val="2"/>
      </rPr>
      <t>git status</t>
    </r>
    <r>
      <rPr>
        <sz val="11"/>
        <color rgb="FF000000"/>
        <rFont val="Arial"/>
        <family val="2"/>
      </rPr>
      <t xml:space="preserve">-Checking the Status of Your Repository; </t>
    </r>
    <r>
      <rPr>
        <b/>
        <sz val="11"/>
        <color rgb="FF000000"/>
        <rFont val="Arial"/>
        <family val="2"/>
      </rPr>
      <t>git log</t>
    </r>
    <r>
      <rPr>
        <sz val="11"/>
        <color rgb="FF000000"/>
        <rFont val="Arial"/>
        <family val="2"/>
      </rPr>
      <t>-Viewing Commit History, Options for Customizing Log Output;</t>
    </r>
  </si>
  <si>
    <r>
      <rPr>
        <b/>
        <sz val="11"/>
        <color rgb="FF000000"/>
        <rFont val="Arial"/>
        <family val="2"/>
      </rPr>
      <t>Introduction to Branching</t>
    </r>
    <r>
      <rPr>
        <sz val="11"/>
        <color rgb="FF000000"/>
        <rFont val="Arial"/>
        <family val="2"/>
      </rPr>
      <t xml:space="preserve">-Creating and Managing Branches, Switching Between Branches; </t>
    </r>
    <r>
      <rPr>
        <b/>
        <sz val="11"/>
        <color rgb="FF000000"/>
        <rFont val="Arial"/>
        <family val="2"/>
      </rPr>
      <t>Merging Changes</t>
    </r>
    <r>
      <rPr>
        <sz val="11"/>
        <color rgb="FF000000"/>
        <rFont val="Arial"/>
        <family val="2"/>
      </rPr>
      <t xml:space="preserve">-Merging Branches, Handling Merge Conflicts; </t>
    </r>
    <r>
      <rPr>
        <b/>
        <sz val="11"/>
        <color rgb="FF000000"/>
        <rFont val="Arial"/>
        <family val="2"/>
      </rPr>
      <t>Branching Strategies</t>
    </r>
    <r>
      <rPr>
        <sz val="11"/>
        <color rgb="FF000000"/>
        <rFont val="Arial"/>
        <family val="2"/>
      </rPr>
      <t>-Feature Branching, Release Branching, Git Flow Workflow;</t>
    </r>
  </si>
  <si>
    <r>
      <rPr>
        <b/>
        <sz val="11"/>
        <color rgb="FF000000"/>
        <rFont val="Arial"/>
        <family val="2"/>
      </rPr>
      <t>Adding Remote Repositories</t>
    </r>
    <r>
      <rPr>
        <sz val="11"/>
        <color rgb="FF000000"/>
        <rFont val="Arial"/>
        <family val="2"/>
      </rPr>
      <t xml:space="preserve">-Linking Local and Remote Repositories, Multiple Remotes; </t>
    </r>
    <r>
      <rPr>
        <b/>
        <sz val="11"/>
        <color rgb="FF000000"/>
        <rFont val="Arial"/>
        <family val="2"/>
      </rPr>
      <t>git pull and git push</t>
    </r>
    <r>
      <rPr>
        <sz val="11"/>
        <color rgb="FF000000"/>
        <rFont val="Arial"/>
        <family val="2"/>
      </rPr>
      <t xml:space="preserve">-Pulling Changes from a Remote Repository, Pushing Changes to a Remote Repository; </t>
    </r>
    <r>
      <rPr>
        <b/>
        <sz val="11"/>
        <color rgb="FF000000"/>
        <rFont val="Arial"/>
        <family val="2"/>
      </rPr>
      <t>Handling Remote Branches</t>
    </r>
    <r>
      <rPr>
        <sz val="11"/>
        <color rgb="FF000000"/>
        <rFont val="Arial"/>
        <family val="2"/>
      </rPr>
      <t>-Tracking and Creating Remote Branches;</t>
    </r>
  </si>
  <si>
    <r>
      <rPr>
        <b/>
        <sz val="11"/>
        <color rgb="FF000000"/>
        <rFont val="Arial"/>
        <family val="2"/>
      </rPr>
      <t>Forking and Pull Requests</t>
    </r>
    <r>
      <rPr>
        <sz val="11"/>
        <color rgb="FF000000"/>
        <rFont val="Arial"/>
        <family val="2"/>
      </rPr>
      <t xml:space="preserve">-Forking a Repository, Creating and Managing Pull Requests; </t>
    </r>
    <r>
      <rPr>
        <b/>
        <sz val="11"/>
        <color rgb="FF000000"/>
        <rFont val="Arial"/>
        <family val="2"/>
      </rPr>
      <t>Git Collaboration Workflows</t>
    </r>
    <r>
      <rPr>
        <sz val="11"/>
        <color rgb="FF000000"/>
        <rFont val="Arial"/>
        <family val="2"/>
      </rPr>
      <t>-Centralized Workflow, Feature Branch Workflow, Forking Workflow, Gitflow Workflow</t>
    </r>
  </si>
  <si>
    <r>
      <rPr>
        <b/>
        <sz val="11"/>
        <color rgb="FF000000"/>
        <rFont val="Arial"/>
        <family val="2"/>
      </rPr>
      <t>File System Module (fs)</t>
    </r>
    <r>
      <rPr>
        <sz val="11"/>
        <color rgb="FF000000"/>
        <rFont val="Arial"/>
        <family val="2"/>
      </rPr>
      <t xml:space="preserve"> - Reading and writing files, Basic asynchronous operations with fs (e.g., readFile and writeFile), </t>
    </r>
    <r>
      <rPr>
        <b/>
        <sz val="11"/>
        <color rgb="FF000000"/>
        <rFont val="Arial"/>
        <family val="2"/>
      </rPr>
      <t>HTTP Module</t>
    </r>
    <r>
      <rPr>
        <sz val="11"/>
        <color rgb="FF000000"/>
        <rFont val="Arial"/>
        <family val="2"/>
      </rPr>
      <t xml:space="preserve"> - Creating a basic HTTP server, Handling simple HTTP requests and responses</t>
    </r>
  </si>
  <si>
    <r>
      <rPr>
        <b/>
        <sz val="11"/>
        <color rgb="FF000000"/>
        <rFont val="Arial"/>
        <family val="2"/>
      </rPr>
      <t>Callbacks and Promises</t>
    </r>
    <r>
      <rPr>
        <sz val="11"/>
        <color rgb="FF000000"/>
        <rFont val="Arial"/>
        <family val="2"/>
      </rPr>
      <t xml:space="preserve"> - Using callbacks for asynchronous operations, Introduction to Promises and .then() syntax, </t>
    </r>
    <r>
      <rPr>
        <b/>
        <sz val="11"/>
        <color rgb="FF000000"/>
        <rFont val="Arial"/>
        <family val="2"/>
      </rPr>
      <t>Async/Await Basics</t>
    </r>
    <r>
      <rPr>
        <sz val="11"/>
        <color rgb="FF000000"/>
        <rFont val="Arial"/>
        <family val="2"/>
      </rPr>
      <t xml:space="preserve"> - Using async/await for cleaner asynchronous code</t>
    </r>
  </si>
  <si>
    <t>Introduction to Jira</t>
  </si>
  <si>
    <r>
      <t xml:space="preserve">What is Jira and its role in Agile project management, </t>
    </r>
    <r>
      <rPr>
        <b/>
        <sz val="11"/>
        <rFont val="Arial"/>
        <family val="2"/>
      </rPr>
      <t>Jira products overview</t>
    </r>
    <r>
      <rPr>
        <sz val="11"/>
        <rFont val="Arial"/>
        <family val="2"/>
      </rPr>
      <t xml:space="preserve">: Jira Software, Jira Service Management, Jira Work Management, </t>
    </r>
    <r>
      <rPr>
        <b/>
        <sz val="11"/>
        <rFont val="Arial"/>
        <family val="2"/>
      </rPr>
      <t>Key terminology</t>
    </r>
    <r>
      <rPr>
        <sz val="11"/>
        <rFont val="Arial"/>
        <family val="2"/>
      </rPr>
      <t>: issues, projects, boards, workflows</t>
    </r>
  </si>
  <si>
    <t>Navigating the Jira Interface</t>
  </si>
  <si>
    <t>Dashboard overview, Project and board navigation, Filters and search functionality</t>
  </si>
  <si>
    <t>Working with Issues</t>
  </si>
  <si>
    <t>Creating and editing issues (Story, Task, Bug, Epic), Issue types and hierarchy, Assigning, prioritizing, and tracking issues, Adding comments, attachments, and watchers</t>
  </si>
  <si>
    <t>Boards and Agile Views</t>
  </si>
  <si>
    <t>Scrum vs Kanban boards, Backlog management, Sprint planning and execution, Using swimlanes and filters</t>
  </si>
  <si>
    <t>Workflow and Status Management</t>
  </si>
  <si>
    <t>Understanding workflows and transitions, Customizing issue statuses, Using labels, components, and versions</t>
  </si>
  <si>
    <t>Reporting and Dashboards</t>
  </si>
  <si>
    <r>
      <rPr>
        <b/>
        <sz val="11"/>
        <rFont val="Arial"/>
        <family val="2"/>
      </rPr>
      <t>Built-in reports</t>
    </r>
    <r>
      <rPr>
        <sz val="11"/>
        <rFont val="Arial"/>
        <family val="2"/>
      </rPr>
      <t>: Burndown, Velocity, Cumulative Flow, 
Creating and customizing dashboards, Using gadgets for team visibility</t>
    </r>
  </si>
  <si>
    <t>Topic</t>
  </si>
  <si>
    <t>Key Coverage / Outcome</t>
  </si>
  <si>
    <t>Prompt Engineering</t>
  </si>
  <si>
    <t>Prompting techniques, best practices, ethics, hands-on lab</t>
  </si>
  <si>
    <t>Introduction to GitHub Copilot</t>
  </si>
  <si>
    <t>Overview of GitHub Copilot features</t>
  </si>
  <si>
    <t>Setup and Configuration</t>
  </si>
  <si>
    <t>Beginner-friendly coding with Copilot</t>
  </si>
  <si>
    <t>Core Features and Capabilities</t>
  </si>
  <si>
    <t>• Code suggestions and completions</t>
  </si>
  <si>
    <t>• Writing functions and boilerplate code</t>
  </si>
  <si>
    <t>• Generating comments and documentation</t>
  </si>
  <si>
    <t>• Refactoring and optimizing code</t>
  </si>
  <si>
    <t>• Creating test cases</t>
  </si>
  <si>
    <t>Security and Ethical Considerations</t>
  </si>
  <si>
    <t>• Understanding AI-generated code risks</t>
  </si>
  <si>
    <t>• Licensing and attribution concerns</t>
  </si>
  <si>
    <t>• Data privacy and usage policies</t>
  </si>
  <si>
    <t>• Responsible use of Copilot</t>
  </si>
  <si>
    <t>Best Practices</t>
  </si>
  <si>
    <t>• Reviewing AI-generated code</t>
  </si>
  <si>
    <t>• Combining Copilot with manual coding</t>
  </si>
  <si>
    <t>• Using Copilot for learning new languages</t>
  </si>
  <si>
    <t>• Avoiding over-reliance</t>
  </si>
  <si>
    <t>Node.js Fundamentals
TypeScript Basics
Bootstrap 5
Angular v20.0
Application Debugging - Front-end</t>
  </si>
  <si>
    <t>Need and Benefits of HTML, Setup, Browser, BOM and DOM, DOCTYPE, Character Encoding, &lt;script&gt; , &lt;link&gt;, , HTML5 Document, Comments</t>
  </si>
  <si>
    <t>Visual Studio Code features, Google Chrome Developer tools, Inspect document</t>
  </si>
  <si>
    <t>Elements &amp; Attributes</t>
  </si>
  <si>
    <t>Formatting Tags, List, Table, Form &amp; Input Tags, Images, Styles, placeholder, inline and block elements, id vs class attributes</t>
  </si>
  <si>
    <t>Navigation</t>
  </si>
  <si>
    <t>Navigation tags, hyper link, reference to intermediate section</t>
  </si>
  <si>
    <t>Events</t>
  </si>
  <si>
    <t>onblur, onchange, onclick, form related events, load events, key events, mouse events, ondblclick, onbeforeonload, oncanplay</t>
  </si>
  <si>
    <t>Web Forms 2.0</t>
  </si>
  <si>
    <t>&lt;input&gt; element in HTML5,  &lt;output&gt;, placeholder attribute, autofocus, required</t>
  </si>
  <si>
    <t>Web Storage</t>
  </si>
  <si>
    <t>Session storage, local storage and Delete web storage</t>
  </si>
  <si>
    <t>Web SQL Database</t>
  </si>
  <si>
    <t>openDatabase, transaction, transaction</t>
  </si>
  <si>
    <t>Geo location</t>
  </si>
  <si>
    <t>Geolocation Methods, Location Properties, Handling Errors, Position Options</t>
  </si>
  <si>
    <t>Need and Benefits of CSS, Setup, CSS Syntax, CSS Comments, Including CSS in HTML Documents(Inline styles, Embedded styles, External style sheets)</t>
  </si>
  <si>
    <t>Selectors</t>
  </si>
  <si>
    <t>CSS3 Selectors - Universal Selector, Element Type Selector, Id Selectors, Class Selectors, Grouping Selectors</t>
  </si>
  <si>
    <t>Styling</t>
  </si>
  <si>
    <t>CSS Color, CSS Background, CSS Fonts, CSS Text, CSS Links, CSS Lists, CSS Tables</t>
  </si>
  <si>
    <t>Box Model</t>
  </si>
  <si>
    <t>CSS Box Model, Margin, padding, border, Outline, Visibility vs. Display, Multiple Columns</t>
  </si>
  <si>
    <t>Advanced</t>
  </si>
  <si>
    <t>Media Queries, RWD</t>
  </si>
  <si>
    <t>Introduction to JavaScript</t>
  </si>
  <si>
    <t>What is JavaScript?, Setting Up JavaScript Development Environment</t>
  </si>
  <si>
    <t>JavaScript Basics</t>
  </si>
  <si>
    <t>Syntax and Statements, Data Types, Operators</t>
  </si>
  <si>
    <t>Control Flow</t>
  </si>
  <si>
    <t>Conditional Statements, Loops, Error Handling</t>
  </si>
  <si>
    <t xml:space="preserve">Functions and Scope </t>
  </si>
  <si>
    <t>Function Basics, Scope and Closures, Higher-Order Functions</t>
  </si>
  <si>
    <t xml:space="preserve">Objects and the Document Object Model (DOM) </t>
  </si>
  <si>
    <t>Objects in JavaScript, JavaScript Prototypes, The DOM, Event Handling</t>
  </si>
  <si>
    <t>Arrays and Array Methods</t>
  </si>
  <si>
    <t>Array Basics, Array Methods</t>
  </si>
  <si>
    <t>Asynchronous JavaScript</t>
  </si>
  <si>
    <t>Understanding Asynchronous Programming, Callbacks and Callback Hell, Promises, Async/Await Syntax</t>
  </si>
  <si>
    <t>JavaScript ES6+ Features</t>
  </si>
  <si>
    <t>Let and Const, Template Literals, Destructuring, Rest and Spread Operators, Modules, Default Parameters</t>
  </si>
  <si>
    <t>JavaScript in Web Development</t>
  </si>
  <si>
    <t>Working with Forms, AJAX and Fetch API</t>
  </si>
  <si>
    <t>Debugging and Testing JavaScript</t>
  </si>
  <si>
    <t>Debugging Tools, Testing JavaScript Code</t>
  </si>
  <si>
    <t>Introduction to JavaScript Frameworks and Libraries</t>
  </si>
  <si>
    <t>Overview of Popular JavaScript Frameworks, Using jQuery for DOM Manipulation</t>
  </si>
  <si>
    <t>Basics</t>
  </si>
  <si>
    <t>Data Types</t>
  </si>
  <si>
    <r>
      <rPr>
        <b/>
        <sz val="11"/>
        <color rgb="FF000000"/>
        <rFont val="Arial"/>
        <family val="2"/>
      </rPr>
      <t>Exact numeric data types</t>
    </r>
    <r>
      <rPr>
        <sz val="11"/>
        <color rgb="FF000000"/>
        <rFont val="Arial"/>
        <family val="2"/>
      </rPr>
      <t xml:space="preserve">-bigint, int, smallint, tinyint, bit, decimal, numeric, money, smallmoney;
</t>
    </r>
    <r>
      <rPr>
        <b/>
        <sz val="11"/>
        <color rgb="FF000000"/>
        <rFont val="Arial"/>
        <family val="2"/>
      </rPr>
      <t>Approximate numeric data types</t>
    </r>
    <r>
      <rPr>
        <sz val="11"/>
        <color rgb="FF000000"/>
        <rFont val="Arial"/>
        <family val="2"/>
      </rPr>
      <t xml:space="preserve">- float(n), real;
</t>
    </r>
    <r>
      <rPr>
        <b/>
        <sz val="11"/>
        <color rgb="FF000000"/>
        <rFont val="Arial"/>
        <family val="2"/>
      </rPr>
      <t>Date &amp; Time data types</t>
    </r>
    <r>
      <rPr>
        <sz val="11"/>
        <color rgb="FF000000"/>
        <rFont val="Arial"/>
        <family val="2"/>
      </rPr>
      <t xml:space="preserve">-datetime, smalldatetime, date, time, datetimeoffset, datetime2;
</t>
    </r>
    <r>
      <rPr>
        <b/>
        <sz val="11"/>
        <color rgb="FF000000"/>
        <rFont val="Arial"/>
        <family val="2"/>
      </rPr>
      <t>Character strings data types</t>
    </r>
    <r>
      <rPr>
        <sz val="11"/>
        <color rgb="FF000000"/>
        <rFont val="Arial"/>
        <family val="2"/>
      </rPr>
      <t xml:space="preserve"> - char, varchar, varchar(max), text
</t>
    </r>
    <r>
      <rPr>
        <b/>
        <sz val="11"/>
        <color rgb="FF000000"/>
        <rFont val="Arial"/>
        <family val="2"/>
      </rPr>
      <t>Unicode character string data types</t>
    </r>
    <r>
      <rPr>
        <sz val="11"/>
        <color rgb="FF000000"/>
        <rFont val="Arial"/>
        <family val="2"/>
      </rPr>
      <t xml:space="preserve">- nchar, nvarchar, ntext;
</t>
    </r>
    <r>
      <rPr>
        <b/>
        <sz val="11"/>
        <color rgb="FF000000"/>
        <rFont val="Arial"/>
        <family val="2"/>
      </rPr>
      <t>Binary string data types</t>
    </r>
    <r>
      <rPr>
        <sz val="11"/>
        <color rgb="FF000000"/>
        <rFont val="Arial"/>
        <family val="2"/>
      </rPr>
      <t xml:space="preserve">- binary, varbinary, image
</t>
    </r>
    <r>
      <rPr>
        <b/>
        <sz val="11"/>
        <color rgb="FF000000"/>
        <rFont val="Arial"/>
        <family val="2"/>
      </rPr>
      <t>Other data types</t>
    </r>
    <r>
      <rPr>
        <sz val="11"/>
        <color rgb="FF000000"/>
        <rFont val="Arial"/>
        <family val="2"/>
      </rPr>
      <t>- cursor, rowversion, hierarchyid, uniqueidentifier, sql_variant, XML, Spatial Geometry type, Spatial Geography type, table</t>
    </r>
  </si>
  <si>
    <t>Constraints</t>
  </si>
  <si>
    <t>Primary key, Foreign key, NOT NULL constraint, UNIQUE constraint, CHECK constraint</t>
  </si>
  <si>
    <t>Querying data</t>
  </si>
  <si>
    <t>Basic SQL Server SELECT statement,  Retrieve some columns of a table, Retrieve all columns from a table, Sort the result set, Group rows into groups, Filter groups</t>
  </si>
  <si>
    <t>Sorting data</t>
  </si>
  <si>
    <t>Introduction to the SQL Server ORDER BY clause, Sort a result set by one column in ascending order, Sort a result set by one column in descending order, Sort a result set by multiple columns, Sort a result set by multiple columns and different orders, Sort a result set by a column that is not in the select list, Sort a result set by an expression, Sort by ordinal positions of columns</t>
  </si>
  <si>
    <t>Filtering data</t>
  </si>
  <si>
    <t>DISTINCT, WHERE, AND, OR, IN, BETWEEN, LIKE, SQL Server table alias, SQL Server column alias</t>
  </si>
  <si>
    <t>Joining tables</t>
  </si>
  <si>
    <t xml:space="preserve">SQL Server Joins, INNER JOIN, LEFT JOIN, RIGHT JOIN, FULL OUTER JOIN , CROSS JOIN, Self join </t>
  </si>
  <si>
    <t>Grouping data</t>
  </si>
  <si>
    <t xml:space="preserve">GROUP BY, HAVING, GROUPING SETS, CUBE, ROLLUP, </t>
  </si>
  <si>
    <t>Subquery</t>
  </si>
  <si>
    <t>Introduction to SQL Server subquery, Nesting subquery, SQL Server subquery types, SQL Server subquery is used in place of an expression, SQL Server subquery is used with IN operator, SQL Server subquery is used with ANY operator, SQL Server subquery is used with ALL operator, SQL Server subquery is used with EXISTS or NOT EXISTS, SQL Server subquery in the FROM clause</t>
  </si>
  <si>
    <t>Set Operators</t>
  </si>
  <si>
    <t>Introduction to SQL Server UNION operator, UNION vs. UNION ALL, UNION vs. JOIN, Introduction to SQL Server INTERSECT, Introduction to SQL Server EXCEPT operator</t>
  </si>
  <si>
    <t>Modifying data</t>
  </si>
  <si>
    <t>INSERT, INSERT multiple rows, INSERT INTO SELECT, UPDATE, UPDATE JOIN, DELETE, MERGE</t>
  </si>
  <si>
    <t>Expressions</t>
  </si>
  <si>
    <t>CASE, COALESCE, NULLIF, Rank()</t>
  </si>
  <si>
    <t>Stored Procedures</t>
  </si>
  <si>
    <t>What is a Stored Procedure?, Benefits of Using Stored Procedures,  Types of Stored Procedures - User-defined, Temporary, System, Extended User-Defined, Create a Stored Procedure,  Modify a Stored Procedure, Delete a Stored Procedure, Execute a Stored Procedure, Grant Permissions on a Stored Procedure, Return Data from a Stored Procedure, Rename a Stored Procedure, Parameters</t>
  </si>
  <si>
    <t>User-Defined Functions</t>
  </si>
  <si>
    <t xml:space="preserve">What are Functions in SQL Server?, Benefits of user-defined functions, Types of functions-Scalar functions, Table-valued functions, System functions, Built-in system functions, Create User-defined Functions, Modify User-defined Functions, Delete User-defined Functions, Execute User-defined Functions, </t>
  </si>
  <si>
    <t>Introduction to C# and .NET 8</t>
  </si>
  <si>
    <t>Overview of .NET Ecosystem and Versions, Benefits of C# 12 Features in .NET 8, Setting up .NET SDK and Visual Studio Code/Visual Studio</t>
  </si>
  <si>
    <t>C# Syntax and Basic Constructs</t>
  </si>
  <si>
    <t>Writing the First Program (Hello World), Variables, Constants, and Data Types (int, float, string, etc.), Value vs Reference Types, Type Inference with var and new()</t>
  </si>
  <si>
    <t>Control Flow Statements</t>
  </si>
  <si>
    <t>Conditional Statements: if, else, switch (with enhancements in C# 12), Iterative Statements: for, while, do-while, foreach, Pattern Matching (switch expressions)</t>
  </si>
  <si>
    <t>Functions and Methods</t>
  </si>
  <si>
    <t>Defining and Calling Methods, Parameters (in, out, ref) and Default Values, Method Overloading and Local Functions</t>
  </si>
  <si>
    <t>Introduction to OOP Concepts</t>
  </si>
  <si>
    <t>Classes and Objects, Constructors (Primary Constructors in C# 12) , Access Modifiers (public, private, protected, internal)</t>
  </si>
  <si>
    <t>Encapsulation and Properties</t>
  </si>
  <si>
    <t>Auto-implemented Properties, init-only Setters and Records, Backing Fields</t>
  </si>
  <si>
    <t>Inheritance and Polymorphism</t>
  </si>
  <si>
    <t xml:space="preserve">Inheriting Classes and Using base Keyword, Overriding Methods and virtual/override Keywords, Abstract Classes and Interfaces, </t>
  </si>
  <si>
    <t>Records and Structs</t>
  </si>
  <si>
    <t>Value Equality and Immutability, Introduction to Records and With-expressions, Struct Improvements in C# 12</t>
  </si>
  <si>
    <t>try-catch-finally Blocks, Custom Exceptions and Exception Filters, when Clause in Exception Handling</t>
  </si>
  <si>
    <t>Nullable Types and Null Safety</t>
  </si>
  <si>
    <t>Handling Null References and ? Operator, Null-coalescing and Null-conditional Operators, Required Modifier in C# 12</t>
  </si>
  <si>
    <t>Collections and LINQ</t>
  </si>
  <si>
    <t>Arrays, List, Dictionary, Queue, Stack Basics, Iterating Collections using foreach, Generics, LINQ Queries for Filtering and Transformation</t>
  </si>
  <si>
    <t>Tuples and Pattern Matching Enhancements</t>
  </si>
  <si>
    <t>Creating and Deconstructing Tuples, Pattern Matching with is and switch Enhancements, List Patterns in C# 12</t>
  </si>
  <si>
    <t>Asynchronous Programming with Async/Await</t>
  </si>
  <si>
    <t>Introduction to Tasks and async/await, Exception Handling in Async Code, ValueTask vs Task Improvements in .NET 8</t>
  </si>
  <si>
    <t>File Handling and I/O Operations</t>
  </si>
  <si>
    <t>Reading and Writing Files, Working with Streams (FileStream, MemoryStream), JSON Serialization with System.Text.Json</t>
  </si>
  <si>
    <t>Multi-Threading</t>
  </si>
  <si>
    <t>What are Multi-Threading?, Importance of Multi-Threading, Multi-Threaded applications, System.Threading Namespace, System.Threading.Thread class, Process and Thread, C# Thread Life Cycle, Obtaining Current Thread Information, Thread Creation, Background Thread, Concurrency issues - Race Condition, Deadlocks, Synchronization, Locks, Monitor, Using [Synchronization] Attribute, Mutex, TaskScheduler Class</t>
  </si>
  <si>
    <t>Debugging and Tracing</t>
  </si>
  <si>
    <t>What is Debugging?, Why do I need to debug?, What is Tracing?, Debug/Trace Class Members, Assert Overloads,  Configuration file EXE.CONFIG , Conditional Debug Attributes, Logging with System.Diagnostics.Trace, Logging with log4net</t>
  </si>
  <si>
    <t>Secure Coding</t>
  </si>
  <si>
    <t>What's Secure Code?, XML vulnerabilities, XSS, basics of web security, authentication and authorization in ASP.NET, SQL Injection, Broken Authentication and Session Management, Cross-site scripting, Security Misconfiguration, Cross-site request forgery (CSRF)</t>
  </si>
  <si>
    <t>ADO.NET Fundamentals</t>
  </si>
  <si>
    <t>What is ADO.NET?, Why we need ADO.NET?, Various Connection Architectures, ADO.NET and it's class library, Connection Class, Command Class, DataReader Class, DataAdaptor Class, DataSet Class, DataTable Class, How to Connect to a Database using ADO.NET?, How to retrive and modify data in database using ADO.NET?</t>
  </si>
  <si>
    <t>Introduction to DSA</t>
  </si>
  <si>
    <t>Importance of DSA in software engineering, Time and space complexity, Big O notation and performance analysis</t>
  </si>
  <si>
    <t>Arrays and Strings</t>
  </si>
  <si>
    <r>
      <rPr>
        <b/>
        <sz val="11"/>
        <color rgb="FF000000"/>
        <rFont val="Arial"/>
        <family val="2"/>
      </rPr>
      <t>Array operations</t>
    </r>
    <r>
      <rPr>
        <sz val="11"/>
        <color rgb="FF000000"/>
        <rFont val="Arial"/>
        <family val="2"/>
      </rPr>
      <t xml:space="preserve">: insert, delete, traverse, Multidimensional arrays, </t>
    </r>
    <r>
      <rPr>
        <b/>
        <sz val="11"/>
        <color rgb="FF000000"/>
        <rFont val="Arial"/>
        <family val="2"/>
      </rPr>
      <t>String manipulation</t>
    </r>
    <r>
      <rPr>
        <sz val="11"/>
        <color rgb="FF000000"/>
        <rFont val="Arial"/>
        <family val="2"/>
      </rPr>
      <t>: reverse, palindrome, anagram, Common problems using arrays and strings</t>
    </r>
  </si>
  <si>
    <t>Linked Lists</t>
  </si>
  <si>
    <r>
      <t xml:space="preserve">Singly and doubly linked lists, Circular linked lists, </t>
    </r>
    <r>
      <rPr>
        <b/>
        <sz val="11"/>
        <color rgb="FF000000"/>
        <rFont val="Arial"/>
        <family val="2"/>
      </rPr>
      <t>Operations</t>
    </r>
    <r>
      <rPr>
        <sz val="11"/>
        <color rgb="FF000000"/>
        <rFont val="Arial"/>
        <family val="2"/>
      </rPr>
      <t>: insert, delete, search, Detecting and removing loops</t>
    </r>
  </si>
  <si>
    <t>Stacks and Queues</t>
  </si>
  <si>
    <r>
      <t xml:space="preserve">Stack operations and applications (e.g., expression evaluation), </t>
    </r>
    <r>
      <rPr>
        <b/>
        <sz val="11"/>
        <color rgb="FF000000"/>
        <rFont val="Arial"/>
        <family val="2"/>
      </rPr>
      <t>Queue types</t>
    </r>
    <r>
      <rPr>
        <sz val="11"/>
        <color rgb="FF000000"/>
        <rFont val="Arial"/>
        <family val="2"/>
      </rPr>
      <t>: simple, circular, priority
Implementation using arrays and linked lists
Real-world use cases</t>
    </r>
  </si>
  <si>
    <t>Recursion and Backtracking</t>
  </si>
  <si>
    <r>
      <t xml:space="preserve">Recursive function design, </t>
    </r>
    <r>
      <rPr>
        <b/>
        <sz val="11"/>
        <color rgb="FF000000"/>
        <rFont val="Arial"/>
        <family val="2"/>
      </rPr>
      <t>Backtracking problems</t>
    </r>
    <r>
      <rPr>
        <sz val="11"/>
        <color rgb="FF000000"/>
        <rFont val="Arial"/>
        <family val="2"/>
      </rPr>
      <t>: N-Queens, Sudoku solver, Tail recursion optimization</t>
    </r>
  </si>
  <si>
    <t>Sorting and Searching Algorithms</t>
  </si>
  <si>
    <r>
      <rPr>
        <b/>
        <sz val="11"/>
        <color rgb="FF000000"/>
        <rFont val="Arial"/>
        <family val="2"/>
      </rPr>
      <t>Sorting:</t>
    </r>
    <r>
      <rPr>
        <sz val="11"/>
        <color rgb="FF000000"/>
        <rFont val="Arial"/>
        <family val="2"/>
      </rPr>
      <t xml:space="preserve"> Bubble, Selection, Insertion, Merge, Quick
</t>
    </r>
    <r>
      <rPr>
        <b/>
        <sz val="11"/>
        <color rgb="FF000000"/>
        <rFont val="Arial"/>
        <family val="2"/>
      </rPr>
      <t>Searching</t>
    </r>
    <r>
      <rPr>
        <sz val="11"/>
        <color rgb="FF000000"/>
        <rFont val="Arial"/>
        <family val="2"/>
      </rPr>
      <t>: Linear, Binary, Comparison of sorting algorithms</t>
    </r>
  </si>
  <si>
    <t>Greedy and Dynamic Programming</t>
  </si>
  <si>
    <r>
      <t xml:space="preserve">Greedy strategy and common problems (e.g., activity selection), </t>
    </r>
    <r>
      <rPr>
        <b/>
        <sz val="11"/>
        <color rgb="FF000000"/>
        <rFont val="Arial"/>
        <family val="2"/>
      </rPr>
      <t>Dynamic programming</t>
    </r>
    <r>
      <rPr>
        <sz val="11"/>
        <color rgb="FF000000"/>
        <rFont val="Arial"/>
        <family val="2"/>
      </rPr>
      <t xml:space="preserve">: memoization and tabulation, </t>
    </r>
    <r>
      <rPr>
        <b/>
        <sz val="11"/>
        <color rgb="FF000000"/>
        <rFont val="Arial"/>
        <family val="2"/>
      </rPr>
      <t>Problems</t>
    </r>
    <r>
      <rPr>
        <sz val="11"/>
        <color rgb="FF000000"/>
        <rFont val="Arial"/>
        <family val="2"/>
      </rPr>
      <t>: knapsack, longest common subsequence</t>
    </r>
  </si>
  <si>
    <t>Introduction to Software Design Principles</t>
  </si>
  <si>
    <t>What are design principles and why they matter, Clean code fundamentals, SOLID principles explained with Java examples: Single Responsibility Principle, Open/Closed Principle, Liskov Substitution Principle, Interface Segregation Principle, Dependency Inversion Principle, 
DRY, KISS, YAGNI principles, Coupling vs Cohesion</t>
  </si>
  <si>
    <t>Object-Oriented Design in Practice</t>
  </si>
  <si>
    <t>Encapsulation, Inheritance, Polymorphism, Abstraction, Composition vs Inheritance, Designing reusable and extensible classes, Real-world modeling using OOP</t>
  </si>
  <si>
    <t>Creational Design Patterns</t>
  </si>
  <si>
    <t>Singleton Pattern (eager vs lazy initialization), Factory Pattern (simple and abstract factory), Builder Pattern (for complex object construction), Prototype Pattern (cloning objects)</t>
  </si>
  <si>
    <t>Structural Design Patterns</t>
  </si>
  <si>
    <t>Adapter Pattern (interface compatibility), Decorator Pattern (adding behavior dynamically), Composite Pattern (tree structures), Proxy Pattern (access control and lazy loading), Facade Pattern (simplified interface to subsystems), Applying patterns in layered architecture</t>
  </si>
  <si>
    <t>Behavioral Design Patterns</t>
  </si>
  <si>
    <t>Strategy Pattern (dynamic behavior selection), Observer Pattern (event-driven systems), Command Pattern (encapsulating requests), Template Method Pattern (algorithm skeletons), State Pattern (object behavior based on state), Chain of Responsibility Pattern (request processing pipeline), Real-world examples in Spring Boot and UI logic</t>
  </si>
  <si>
    <t>Refactoring and Anti-Patterns</t>
  </si>
  <si>
    <r>
      <t xml:space="preserve">Identifying code smells, Refactoring techniques using design patterns, </t>
    </r>
    <r>
      <rPr>
        <b/>
        <sz val="11"/>
        <color rgb="FF000000"/>
        <rFont val="Arial"/>
        <family val="2"/>
      </rPr>
      <t>Common anti-patterns:</t>
    </r>
    <r>
      <rPr>
        <sz val="11"/>
        <color rgb="FF000000"/>
        <rFont val="Arial"/>
        <family val="2"/>
      </rPr>
      <t xml:space="preserve"> God Object, Spaghetti Code, Golden Hammer, How to avoid and fix them</t>
    </r>
  </si>
  <si>
    <r>
      <rPr>
        <b/>
        <sz val="11"/>
        <color rgb="FF000000"/>
        <rFont val="Arial"/>
        <family val="2"/>
      </rPr>
      <t>Importance of Debugging</t>
    </r>
    <r>
      <rPr>
        <sz val="11"/>
        <color rgb="FF000000"/>
        <rFont val="Arial"/>
        <family val="2"/>
      </rPr>
      <t>-Importance of Debugging,  Challenges in Identifying and Fixing Issues</t>
    </r>
  </si>
  <si>
    <r>
      <rPr>
        <b/>
        <sz val="11"/>
        <color rgb="FF000000"/>
        <rFont val="Arial"/>
        <family val="2"/>
      </rPr>
      <t>Setting Breakpoints</t>
    </r>
    <r>
      <rPr>
        <sz val="11"/>
        <color rgb="FF000000"/>
        <rFont val="Arial"/>
        <family val="2"/>
      </rPr>
      <t xml:space="preserve">-Placing Breakpoints in Code, Understanding Breakpoint Types;  </t>
    </r>
    <r>
      <rPr>
        <b/>
        <sz val="11"/>
        <color rgb="FF000000"/>
        <rFont val="Arial"/>
        <family val="2"/>
      </rPr>
      <t>Inspecting Variables-</t>
    </r>
    <r>
      <rPr>
        <sz val="11"/>
        <color rgb="FF000000"/>
        <rFont val="Arial"/>
        <family val="2"/>
      </rPr>
      <t xml:space="preserve">Using Watch and Locals Windows, Inspecting Variable Values During Debugging; </t>
    </r>
    <r>
      <rPr>
        <b/>
        <sz val="11"/>
        <color rgb="FF000000"/>
        <rFont val="Arial"/>
        <family val="2"/>
      </rPr>
      <t>Stepping Through Code</t>
    </r>
    <r>
      <rPr>
        <sz val="11"/>
        <color rgb="FF000000"/>
        <rFont val="Arial"/>
        <family val="2"/>
      </rPr>
      <t>-Step Into, Step Over, and Step Out, Navigating Through Code Execution</t>
    </r>
  </si>
  <si>
    <r>
      <rPr>
        <b/>
        <sz val="11"/>
        <color rgb="FF000000"/>
        <rFont val="Arial"/>
        <family val="2"/>
      </rPr>
      <t>Configuring Exception Settings</t>
    </r>
    <r>
      <rPr>
        <sz val="11"/>
        <color rgb="FF000000"/>
        <rFont val="Arial"/>
        <family val="2"/>
      </rPr>
      <t xml:space="preserve">-Enabling/Disabling Exception Breakpoints, Exception Settings in Visual Studio;  </t>
    </r>
    <r>
      <rPr>
        <b/>
        <sz val="11"/>
        <color rgb="FF000000"/>
        <rFont val="Arial"/>
        <family val="2"/>
      </rPr>
      <t>Handling Runtime Exceptions</t>
    </r>
    <r>
      <rPr>
        <sz val="11"/>
        <color rgb="FF000000"/>
        <rFont val="Arial"/>
        <family val="2"/>
      </rPr>
      <t>-Catching and Analyzing Exceptions, Debugging Unhandled Exceptions</t>
    </r>
  </si>
  <si>
    <r>
      <rPr>
        <b/>
        <sz val="11"/>
        <color rgb="FF000000"/>
        <rFont val="Arial"/>
        <family val="2"/>
      </rPr>
      <t>Importing API Endpoints</t>
    </r>
    <r>
      <rPr>
        <sz val="11"/>
        <color rgb="FF000000"/>
        <rFont val="Arial"/>
        <family val="2"/>
      </rPr>
      <t xml:space="preserve">-Importing API Definitions into Postman, Configuring API Requests; </t>
    </r>
    <r>
      <rPr>
        <b/>
        <sz val="11"/>
        <color rgb="FF000000"/>
        <rFont val="Arial"/>
        <family val="2"/>
      </rPr>
      <t>Sending Requests and Inspecting Responses</t>
    </r>
    <r>
      <rPr>
        <sz val="11"/>
        <color rgb="FF000000"/>
        <rFont val="Arial"/>
        <family val="2"/>
      </rPr>
      <t>-Making GET, POST, PUT, and DELETE Requests, Analyzing Response Data in Postman</t>
    </r>
  </si>
  <si>
    <r>
      <rPr>
        <b/>
        <sz val="11"/>
        <color rgb="FF000000"/>
        <rFont val="Arial"/>
        <family val="2"/>
      </rPr>
      <t>Adding Breakpoints to Code</t>
    </r>
    <r>
      <rPr>
        <sz val="11"/>
        <color rgb="FF000000"/>
        <rFont val="Arial"/>
        <family val="2"/>
      </rPr>
      <t xml:space="preserve">-Demonstrating Breakpoint Usage in Visual Studio, Triggering Breakpoints from Postman; </t>
    </r>
    <r>
      <rPr>
        <b/>
        <sz val="11"/>
        <color rgb="FF000000"/>
        <rFont val="Arial"/>
        <family val="2"/>
      </rPr>
      <t>Inspecting Request and Response Data</t>
    </r>
    <r>
      <rPr>
        <sz val="11"/>
        <color rgb="FF000000"/>
        <rFont val="Arial"/>
        <family val="2"/>
      </rPr>
      <t>-Examining Request Headers and Body, Analyzing API Responses in Debug Mode</t>
    </r>
  </si>
  <si>
    <r>
      <rPr>
        <b/>
        <sz val="11"/>
        <color rgb="FF000000"/>
        <rFont val="Arial"/>
        <family val="2"/>
      </rPr>
      <t>Remote Debugging</t>
    </r>
    <r>
      <rPr>
        <sz val="11"/>
        <color rgb="FF000000"/>
        <rFont val="Arial"/>
        <family val="2"/>
      </rPr>
      <t xml:space="preserve">-Debugging Web API on Remote Servers, Configuring Visual Studio for Remote Debugging;  </t>
    </r>
    <r>
      <rPr>
        <b/>
        <sz val="11"/>
        <color rgb="FF000000"/>
        <rFont val="Arial"/>
        <family val="2"/>
      </rPr>
      <t>Profiling and Performance Analysis</t>
    </r>
    <r>
      <rPr>
        <sz val="11"/>
        <color rgb="FF000000"/>
        <rFont val="Arial"/>
        <family val="2"/>
      </rPr>
      <t>-Identifying Performance Bottlenecks, Using Visual Studio Profiler</t>
    </r>
  </si>
  <si>
    <t>Inter-service communication methods (HTTP, messaging, gRPC), Service discovery and registration, Implementing communication patterns in ASP.NET Core Web API, Database per service vs. shared database patterns, Implementing data access with Entity Framework Core in microservices, Data consistency and transactions in microservices</t>
  </si>
  <si>
    <t>Introduction to Bootstrap 5</t>
  </si>
  <si>
    <t>Overview of Bootstrap Framework, Setting Up Bootstrap 5, Bootstrap Structure and Files</t>
  </si>
  <si>
    <t>Bootstrap Grid System</t>
  </si>
  <si>
    <t>Fundamentals of Responsive Grid Layout, Column Layouts and Grid Classes, Alignment and Reordering in Grid, Responsive Flexbox Utilities</t>
  </si>
  <si>
    <t>Bootstrap Components</t>
  </si>
  <si>
    <t>Typography, Forms, Buttons, Navbars and Navigation, Cards and Media Objects</t>
  </si>
  <si>
    <t>Bootstrap Utilities and Helpers</t>
  </si>
  <si>
    <t>Spacing Utilities, Colors and Backgrounds, Display and Visibility, Borders, Shadows, and Rounded Corners, Positioning Utilities</t>
  </si>
  <si>
    <t>Advanced Bootstrap 5 Features</t>
  </si>
  <si>
    <t>Icons with Bootstrap Icons, Bootstrap 5 JavaScript Plugins, Customization with Sass</t>
  </si>
  <si>
    <t>Clean as You Code</t>
  </si>
  <si>
    <t>Introduction to SonarQube,Benefits of Continuous Code Quality,Clean Code Principles</t>
  </si>
  <si>
    <t>SonarQube with MSBuild</t>
  </si>
  <si>
    <r>
      <t xml:space="preserve">Setup and Configuration, Updating Connect URLs and Proxy Settings,SonarQube </t>
    </r>
    <r>
      <rPr>
        <b/>
        <sz val="11"/>
        <color rgb="FF000000"/>
        <rFont val="Arial"/>
        <family val="2"/>
      </rPr>
      <t>Architecture Overview:</t>
    </r>
    <r>
      <rPr>
        <sz val="11"/>
        <color rgb="FF000000"/>
        <rFont val="Arial"/>
        <family val="2"/>
      </rPr>
      <t xml:space="preserve"> Scanner for MSBuild, Client-Server Interaction
SonarQube Database, </t>
    </r>
  </si>
  <si>
    <t>Static Code Analysis with MSBuild</t>
  </si>
  <si>
    <r>
      <rPr>
        <b/>
        <sz val="11"/>
        <color rgb="FF000000"/>
        <rFont val="Arial"/>
        <family val="2"/>
      </rPr>
      <t xml:space="preserve">Running SonarScanner for MSBuild: </t>
    </r>
    <r>
      <rPr>
        <sz val="11"/>
        <color rgb="FF000000"/>
        <rFont val="Arial"/>
        <family val="2"/>
      </rPr>
      <t>Begin Analysis, Build with MSBuild, End Analysis</t>
    </r>
  </si>
  <si>
    <t>Code Quality Metrics and Issue Detection</t>
  </si>
  <si>
    <t>Duplicate Code, Cyclomatic Complexity, Spaghetti Design, Lack of Unit Tests, Improper Coding Standards, Potential Bugs, Insufficient Comments</t>
  </si>
  <si>
    <t>SonarQube Logs and Dashboard</t>
  </si>
  <si>
    <t>Interpreting Sonar Logs, Navigating the SonarQube Dashboard, Using Quality Gates</t>
  </si>
  <si>
    <t>Cloud and DevOps  using Azure</t>
  </si>
  <si>
    <r>
      <t xml:space="preserve">Fundamentals of Generative AI [101-Basics]
Activity Code: </t>
    </r>
    <r>
      <rPr>
        <b/>
        <sz val="11"/>
        <color theme="1"/>
        <rFont val="Arial"/>
        <family val="2"/>
      </rPr>
      <t>ELRNG01863</t>
    </r>
  </si>
  <si>
    <r>
      <t xml:space="preserve">GENERATIVE AI QUICK ASSESSMENT FOR ELEARNING QUIZ [101-BASICS]
Activity Code: </t>
    </r>
    <r>
      <rPr>
        <b/>
        <sz val="11"/>
        <color theme="1"/>
        <rFont val="Arial"/>
        <family val="2"/>
      </rPr>
      <t>ATHDW335105</t>
    </r>
  </si>
  <si>
    <r>
      <t xml:space="preserve">Introduction to Responsible AI
Activity Code: </t>
    </r>
    <r>
      <rPr>
        <b/>
        <sz val="11"/>
        <color theme="1"/>
        <rFont val="Arial"/>
        <family val="2"/>
      </rPr>
      <t>CGZ-914en</t>
    </r>
  </si>
  <si>
    <r>
      <t xml:space="preserve">Responsible AI-Deep Dive [101- BASICS]
Activity Code: </t>
    </r>
    <r>
      <rPr>
        <b/>
        <sz val="11"/>
        <color theme="1"/>
        <rFont val="Arial"/>
        <family val="2"/>
      </rPr>
      <t>ELRNG02344</t>
    </r>
  </si>
  <si>
    <t>• Design of a microservices architecture for various modules.
• Implementation of inter-service communication.
• Dockerizing the management system.</t>
  </si>
  <si>
    <t>Introduction to TypeScript</t>
  </si>
  <si>
    <t>What is TypeScript?, Benefits over JavaScript, Installing TypeScript and using the compiler (tsc), Setting up tsconfig.json</t>
  </si>
  <si>
    <t>Basic Types</t>
  </si>
  <si>
    <r>
      <t xml:space="preserve">Primitive types: number, string, boolean, </t>
    </r>
    <r>
      <rPr>
        <b/>
        <sz val="11"/>
        <color theme="1"/>
        <rFont val="Arial"/>
        <family val="2"/>
      </rPr>
      <t>Special types</t>
    </r>
    <r>
      <rPr>
        <sz val="11"/>
        <color theme="1"/>
        <rFont val="Arial"/>
        <family val="2"/>
      </rPr>
      <t>: any, void, null, undefined, Arrays and Tuples</t>
    </r>
  </si>
  <si>
    <t>Type Annotations and Inference</t>
  </si>
  <si>
    <t>Explicit vs implicit typing, Type assertions (as keyword)</t>
  </si>
  <si>
    <t xml:space="preserve">Functions </t>
  </si>
  <si>
    <t>Function parameter and return types, Optional and default parameters, Arrow functions with types</t>
  </si>
  <si>
    <t>Interfaces and Object Types</t>
  </si>
  <si>
    <t>Defining interfaces, Optional and readonly properties, 
Using interfaces with functions and objects</t>
  </si>
  <si>
    <t>Classes and Access Modifiers</t>
  </si>
  <si>
    <t>Class syntax and constructors, public, private, protected modifiers, Basic inheritance</t>
  </si>
  <si>
    <t>Union and Literal Types</t>
  </si>
  <si>
    <t>Union types (string | number), Literal types ('success' | 'error'), Type narrowing basics</t>
  </si>
  <si>
    <t>• Describe the role of Node.js in full-stack development and identify its use cases for server-side programming.
• Write type-safe JavaScript code using TypeScript features such as interfaces, classes, and generics.
• Design responsive and mobile-friendly user interfaces using Bootstrap 5 components and grid system.
• Develop single-page applications using Angular v20 with component-based architecture and routing
• Identifies and resolves front-end issues using browser developer tools, console logs, and breakpoints.</t>
  </si>
  <si>
    <t>Self-Study</t>
  </si>
  <si>
    <t>Agile Methodology
Jira Basics
GIT Basics
Data Structures and Algorithms
Design Patterns and Principles
ASP.Net Core 8.0
Entity Framework Core 8.0</t>
  </si>
  <si>
    <t>Cross-functional Skills, Problem Solving,Software Design,Backend Development,ORM Integration</t>
  </si>
  <si>
    <t>• Setup project repository and add PoD members
• Implement DSA problems in C#
• Apply design patterns in backend modules
• Build ASP.Net Core backend with EF Core integration</t>
  </si>
  <si>
    <t>• JIRA (Free version)
• GIT
• Visual Studio IDE 2022 Community
• EF Core CLI
• ASP.Net Core SDK 8</t>
  </si>
  <si>
    <t>3.22 Weeks</t>
  </si>
  <si>
    <t>Week 2-5</t>
  </si>
  <si>
    <t xml:space="preserve">• Sprint Planning 1 hour (Day 1 of Week 2)
• Daily Stand-ups 15 minutes each (Days 2–5 each week)
• Sprint Review and Retrospective: 1 hour (Day 3 of Week 5)
</t>
  </si>
  <si>
    <t>Sprint 1 – Project Environment Setup, Backend and Data Foundations</t>
  </si>
  <si>
    <t>CSS3 - Refresher</t>
  </si>
  <si>
    <t>HTML5 - Refresher</t>
  </si>
  <si>
    <t>JavaScript - Refresher</t>
  </si>
  <si>
    <t>ANSI SQL with MS SQL - Refresher</t>
  </si>
  <si>
    <t>C# (v12) - Refresher</t>
  </si>
  <si>
    <t xml:space="preserve">• Create structured and semantic web pages using HTML5.
• Style web pages effectively using CSS3, including layout techniques like Flexbox and Grid.
• Implement responsive design principles for mobile-first development.
• Write interactive and dynamic client-side scripts using JavaScript.
• Design normalized relational schemas and write efficient SQL queries.
• Implement joins, subqueries, and stored procedures for data manipulation.
• Use SQL Server Management Studio for database development and performance tuning.
• Develop modular and maintainable applications using C# 12 features and OOP principles.
• Implement CRUD operations and integrate with databases using ADO.NET </t>
  </si>
  <si>
    <t>• Understand Agile principles, values, and the key differences from the Waterfall methodology.
• Understand the roles, ceremonies, and artifacts within the Scrum framework.
• Participate effectively in Scrum ceremonies and utilize Scrum artifacts in project scenarios.
• Write clear and effective user stories with well-defined acceptance criteria.
• Creates and manages Jira issues (Stories, Bugs, Tasks) and updates their status through a defined workflow.
• Configures and uses Jira boards to track sprint progress and generate reports like burndown charts.
• Understand and utilize GIT for version control, including branching, merging, and resolving conflicts.
• Efficiently collaborate with team members using GIT workflows and repositories.
• Implement and apply fundamental data structures (arrays, lists, stacks, queues, trees, graphs) to solve real-world problems.
• Analyze and optimize algorithmic solutions using time and space complexity principles.
• Apply common design patterns (e.g., Singleton, Factory, Strategy) to improve code reusability and maintainability.
• Design software systems using SOLID principles and architectural best practices.
• Develop scalable and secure web applications using ASP.Net Core 8.0.
• Configure middleware, routing, and dependency injection effectively in ASP.Net Core projects.
• Describe EF Core architecture, ORM principles, and the advantages of using EF Core for database interactions.
• Create entity classes, configure relationships, and generate migrations to manage schema evolution.
• Write efficient queries, handle data updates, and manage entity states using EF Core APIs.</t>
  </si>
  <si>
    <t>Leadership Connects</t>
  </si>
  <si>
    <t>2.51 Weeks</t>
  </si>
  <si>
    <t>Sprint 0 - Refresher Learning</t>
  </si>
  <si>
    <t>Week 8</t>
  </si>
  <si>
    <t>BH Post-Assessment</t>
  </si>
  <si>
    <t>Post-Assessment</t>
  </si>
  <si>
    <t>BH Pre-Assessment</t>
  </si>
  <si>
    <t>Pre-Assessment</t>
  </si>
  <si>
    <r>
      <t xml:space="preserve">To be eligible for deployment to the business, a candidate must achieve a </t>
    </r>
    <r>
      <rPr>
        <b/>
        <sz val="11"/>
        <color rgb="FF000000"/>
        <rFont val="Calibri"/>
        <family val="2"/>
        <scheme val="minor"/>
      </rPr>
      <t>Performance Health Status (PHS) of Green in the Final Evaluation.</t>
    </r>
  </si>
  <si>
    <t>ADM DotNet FSE - Angular (Stage 2 Plus)</t>
  </si>
  <si>
    <t>DotNet FSE - Angular</t>
  </si>
  <si>
    <t>Interns/GenCs tagged to DotNet FSE - Angular track</t>
  </si>
  <si>
    <t>Stages/Levels</t>
  </si>
  <si>
    <t>Stage 1 - Refresher</t>
  </si>
  <si>
    <t>Others</t>
  </si>
  <si>
    <t>Total Track Duration (Hrs.):</t>
  </si>
  <si>
    <t>Interim Evaluation (Project+Technical)</t>
  </si>
  <si>
    <t>Final Evaluation (Project+Technical)</t>
  </si>
  <si>
    <t>HTML5, CSS3, JavaScript-Refresher</t>
  </si>
  <si>
    <t>ANSI SQL with MS SQL-Refresher</t>
  </si>
  <si>
    <t>Application Programming with C#-Refresher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</si>
</sst>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rgb="FF1F4E78"/>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sz val="12"/>
      <color theme="1"/>
      <name val="Calibri"/>
      <family val="2"/>
      <scheme val="minor"/>
    </font>
    <font>
      <b/>
      <sz val="12"/>
      <color rgb="FFFFFFFF"/>
      <name val="Calibri"/>
      <family val="2"/>
      <scheme val="minor"/>
    </font>
    <font>
      <b/>
      <sz val="16"/>
      <color rgb="FFFFFFFF"/>
      <name val="Calibri"/>
      <family val="2"/>
      <scheme val="minor"/>
    </font>
    <font>
      <b/>
      <sz val="11"/>
      <color rgb="FFFFFFFF"/>
      <name val="Arial"/>
      <family val="2"/>
    </font>
    <font>
      <sz val="11"/>
      <color theme="1"/>
      <name val="Arial"/>
      <family val="2"/>
    </font>
    <font>
      <b/>
      <sz val="11"/>
      <color rgb="FF000000"/>
      <name val="Arial"/>
      <family val="2"/>
    </font>
    <font>
      <sz val="11"/>
      <color rgb="FF000000"/>
      <name val="Arial"/>
      <family val="2"/>
    </font>
    <font>
      <sz val="11"/>
      <color theme="0"/>
      <name val="Arial"/>
      <family val="2"/>
    </font>
    <font>
      <sz val="11"/>
      <name val="Arial"/>
      <family val="2"/>
    </font>
    <font>
      <b/>
      <sz val="11"/>
      <color theme="0"/>
      <name val="Arial"/>
      <family val="2"/>
    </font>
    <font>
      <b/>
      <sz val="11"/>
      <name val="Arial"/>
      <family val="2"/>
    </font>
    <font>
      <b/>
      <sz val="12"/>
      <color theme="0"/>
      <name val="Arial"/>
      <family val="2"/>
    </font>
    <font>
      <sz val="12"/>
      <color theme="1"/>
      <name val="Arial"/>
      <family val="2"/>
    </font>
    <font>
      <b/>
      <sz val="11"/>
      <color theme="1"/>
      <name val="Arial"/>
      <family val="2"/>
    </font>
    <font>
      <sz val="11"/>
      <color rgb="FFFFFFFF"/>
      <name val="Arial"/>
      <family val="2"/>
    </font>
  </fonts>
  <fills count="18">
    <fill>
      <patternFill patternType="none"/>
    </fill>
    <fill>
      <patternFill patternType="gray125"/>
    </fill>
    <fill>
      <patternFill patternType="solid">
        <fgColor rgb="FFD6DCE4"/>
        <bgColor rgb="FF000000"/>
      </patternFill>
    </fill>
    <fill>
      <patternFill patternType="solid">
        <fgColor rgb="FFDDEBF7"/>
        <bgColor rgb="FF000000"/>
      </patternFill>
    </fill>
    <fill>
      <patternFill patternType="solid">
        <fgColor rgb="FF203764"/>
        <bgColor rgb="FF000000"/>
      </patternFill>
    </fill>
    <fill>
      <patternFill patternType="solid">
        <fgColor rgb="FFBDD7EE"/>
        <bgColor rgb="FF000000"/>
      </patternFill>
    </fill>
    <fill>
      <patternFill patternType="solid">
        <fgColor rgb="FFEDEDED"/>
        <bgColor rgb="FF000000"/>
      </patternFill>
    </fill>
    <fill>
      <patternFill patternType="solid">
        <fgColor rgb="FF000048"/>
        <bgColor rgb="FF000000"/>
      </patternFill>
    </fill>
    <fill>
      <patternFill patternType="solid">
        <fgColor rgb="FF7B7B7B"/>
        <bgColor rgb="FF000000"/>
      </patternFill>
    </fill>
    <fill>
      <patternFill patternType="solid">
        <fgColor rgb="FF305496"/>
        <bgColor rgb="FF000000"/>
      </patternFill>
    </fill>
    <fill>
      <patternFill patternType="solid">
        <fgColor rgb="FF36C0CF"/>
        <bgColor indexed="64"/>
      </patternFill>
    </fill>
    <fill>
      <patternFill patternType="solid">
        <fgColor rgb="FF0070C0"/>
        <bgColor rgb="FF000000"/>
      </patternFill>
    </fill>
    <fill>
      <patternFill patternType="solid">
        <fgColor rgb="FF000048"/>
        <bgColor indexed="64"/>
      </patternFill>
    </fill>
    <fill>
      <patternFill patternType="solid">
        <fgColor rgb="FF00B0F0"/>
        <bgColor rgb="FF000000"/>
      </patternFill>
    </fill>
    <fill>
      <patternFill patternType="solid">
        <fgColor theme="0"/>
        <bgColor indexed="64"/>
      </patternFill>
    </fill>
    <fill>
      <patternFill patternType="solid">
        <fgColor rgb="FFFFFF00"/>
        <bgColor indexed="64"/>
      </patternFill>
    </fill>
    <fill>
      <patternFill patternType="solid">
        <fgColor rgb="FFFFFFFF"/>
        <bgColor rgb="FF000000"/>
      </patternFill>
    </fill>
    <fill>
      <patternFill patternType="solid">
        <fgColor rgb="FF639BD5"/>
        <bgColor rgb="FF000000"/>
      </patternFill>
    </fill>
  </fills>
  <borders count="25">
    <border>
      <left/>
      <right/>
      <top/>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indexed="64"/>
      </bottom>
      <diagonal/>
    </border>
    <border>
      <left style="thin">
        <color rgb="FF000000"/>
      </left>
      <right style="thin">
        <color rgb="FF000000"/>
      </right>
      <top/>
      <bottom/>
      <diagonal/>
    </border>
    <border>
      <left/>
      <right style="thin">
        <color rgb="FF000000"/>
      </right>
      <top/>
      <bottom style="thin">
        <color indexed="64"/>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indexed="64"/>
      </left>
      <right style="thin">
        <color indexed="64"/>
      </right>
      <top style="thin">
        <color rgb="FF000000"/>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187">
    <xf numFmtId="0" fontId="0" fillId="0" borderId="0" xfId="0"/>
    <xf numFmtId="0" fontId="1" fillId="2" borderId="2" xfId="0" applyFont="1" applyFill="1" applyBorder="1" applyAlignment="1">
      <alignment horizontal="left" vertical="center"/>
    </xf>
    <xf numFmtId="0" fontId="2" fillId="3" borderId="3" xfId="0" applyFont="1" applyFill="1" applyBorder="1" applyAlignment="1">
      <alignment horizontal="left" vertical="center" wrapText="1"/>
    </xf>
    <xf numFmtId="0" fontId="1" fillId="2" borderId="4" xfId="0" applyFont="1" applyFill="1" applyBorder="1" applyAlignment="1">
      <alignment horizontal="left" vertical="center"/>
    </xf>
    <xf numFmtId="0" fontId="2" fillId="3" borderId="5" xfId="0" applyFont="1" applyFill="1" applyBorder="1" applyAlignment="1">
      <alignment horizontal="left" vertical="center" wrapText="1"/>
    </xf>
    <xf numFmtId="0" fontId="3" fillId="4" borderId="6" xfId="0" applyFont="1" applyFill="1" applyBorder="1" applyAlignment="1">
      <alignment vertical="top" wrapText="1"/>
    </xf>
    <xf numFmtId="0" fontId="3" fillId="4" borderId="7" xfId="0" applyFont="1" applyFill="1" applyBorder="1" applyAlignment="1">
      <alignment vertical="top" wrapText="1"/>
    </xf>
    <xf numFmtId="0" fontId="2" fillId="5" borderId="6" xfId="0" applyFont="1" applyFill="1" applyBorder="1" applyAlignment="1">
      <alignment horizontal="left" vertical="top" wrapText="1"/>
    </xf>
    <xf numFmtId="0" fontId="2" fillId="6" borderId="6" xfId="0" applyFont="1" applyFill="1" applyBorder="1" applyAlignment="1">
      <alignment vertical="top"/>
    </xf>
    <xf numFmtId="0" fontId="2" fillId="5" borderId="8" xfId="0" applyFont="1" applyFill="1" applyBorder="1" applyAlignment="1">
      <alignment horizontal="left" vertical="top" wrapText="1"/>
    </xf>
    <xf numFmtId="0" fontId="2" fillId="6" borderId="6" xfId="0" applyFont="1" applyFill="1" applyBorder="1" applyAlignment="1">
      <alignment vertical="top" wrapText="1"/>
    </xf>
    <xf numFmtId="0" fontId="2" fillId="5" borderId="6" xfId="0" applyFont="1" applyFill="1" applyBorder="1" applyAlignment="1">
      <alignment vertical="top" wrapText="1"/>
    </xf>
    <xf numFmtId="0" fontId="2" fillId="5" borderId="11" xfId="0" applyFont="1" applyFill="1" applyBorder="1" applyAlignment="1">
      <alignment vertical="top" wrapText="1"/>
    </xf>
    <xf numFmtId="0" fontId="0" fillId="0" borderId="0" xfId="0" applyAlignment="1">
      <alignment vertical="top"/>
    </xf>
    <xf numFmtId="0" fontId="5" fillId="0" borderId="0" xfId="0" applyFont="1" applyAlignment="1">
      <alignment vertical="center"/>
    </xf>
    <xf numFmtId="0" fontId="6" fillId="7" borderId="8" xfId="0" applyFont="1" applyFill="1" applyBorder="1" applyAlignment="1">
      <alignment horizontal="left" vertical="center"/>
    </xf>
    <xf numFmtId="0" fontId="0" fillId="0" borderId="0" xfId="0" applyAlignment="1">
      <alignment vertical="center"/>
    </xf>
    <xf numFmtId="0" fontId="8" fillId="7" borderId="6" xfId="0" applyFont="1" applyFill="1" applyBorder="1" applyAlignment="1">
      <alignment horizontal="left" vertical="top" wrapText="1"/>
    </xf>
    <xf numFmtId="0" fontId="8" fillId="7" borderId="13" xfId="0" applyFont="1" applyFill="1" applyBorder="1" applyAlignment="1">
      <alignment horizontal="left" vertical="top" wrapText="1"/>
    </xf>
    <xf numFmtId="0" fontId="8" fillId="7" borderId="8" xfId="0" applyFont="1" applyFill="1" applyBorder="1" applyAlignment="1">
      <alignment horizontal="left" vertical="top" wrapText="1"/>
    </xf>
    <xf numFmtId="0" fontId="8" fillId="7" borderId="8" xfId="0" applyFont="1" applyFill="1" applyBorder="1" applyAlignment="1">
      <alignment vertical="top" wrapText="1"/>
    </xf>
    <xf numFmtId="0" fontId="9" fillId="0" borderId="0" xfId="0" applyFont="1" applyAlignment="1">
      <alignment vertical="top"/>
    </xf>
    <xf numFmtId="0" fontId="11" fillId="0" borderId="6" xfId="0" applyFont="1" applyBorder="1" applyAlignment="1">
      <alignment horizontal="left" vertical="top" wrapText="1"/>
    </xf>
    <xf numFmtId="0" fontId="11" fillId="0" borderId="8" xfId="0" applyFont="1" applyBorder="1" applyAlignment="1">
      <alignment horizontal="left" vertical="top" wrapText="1"/>
    </xf>
    <xf numFmtId="0" fontId="11" fillId="0" borderId="8" xfId="0" applyFont="1" applyBorder="1" applyAlignment="1">
      <alignment horizontal="right" vertical="top" wrapText="1"/>
    </xf>
    <xf numFmtId="0" fontId="11" fillId="0" borderId="7" xfId="0" applyFont="1" applyBorder="1" applyAlignment="1">
      <alignment horizontal="left" vertical="top" wrapText="1"/>
    </xf>
    <xf numFmtId="0" fontId="11" fillId="0" borderId="8" xfId="0" applyFont="1" applyBorder="1" applyAlignment="1">
      <alignment vertical="top" wrapText="1"/>
    </xf>
    <xf numFmtId="0" fontId="11" fillId="0" borderId="6" xfId="0" applyFont="1" applyBorder="1" applyAlignment="1">
      <alignment horizontal="right" vertical="top" wrapText="1"/>
    </xf>
    <xf numFmtId="0" fontId="11" fillId="0" borderId="6" xfId="0" applyFont="1" applyBorder="1" applyAlignment="1">
      <alignment vertical="top" wrapText="1"/>
    </xf>
    <xf numFmtId="0" fontId="12" fillId="12" borderId="8" xfId="0" applyFont="1" applyFill="1" applyBorder="1" applyAlignment="1">
      <alignment horizontal="right" vertical="top" wrapText="1"/>
    </xf>
    <xf numFmtId="0" fontId="10" fillId="0" borderId="7" xfId="0" applyFont="1" applyBorder="1" applyAlignment="1">
      <alignment horizontal="center" vertical="center" textRotation="90" wrapText="1"/>
    </xf>
    <xf numFmtId="0" fontId="11" fillId="0" borderId="13" xfId="0" applyFont="1" applyBorder="1" applyAlignment="1">
      <alignment horizontal="left" vertical="top" wrapText="1"/>
    </xf>
    <xf numFmtId="0" fontId="9" fillId="0" borderId="6" xfId="0" applyFont="1" applyBorder="1" applyAlignment="1">
      <alignment vertical="top"/>
    </xf>
    <xf numFmtId="0" fontId="12" fillId="12" borderId="6" xfId="0" applyFont="1" applyFill="1" applyBorder="1" applyAlignment="1">
      <alignment vertical="top" wrapText="1"/>
    </xf>
    <xf numFmtId="0" fontId="12" fillId="12" borderId="6" xfId="0" applyFont="1" applyFill="1" applyBorder="1" applyAlignment="1">
      <alignment horizontal="left" vertical="top" wrapText="1"/>
    </xf>
    <xf numFmtId="0" fontId="12" fillId="12" borderId="6" xfId="0" applyFont="1" applyFill="1" applyBorder="1" applyAlignment="1">
      <alignment vertical="top"/>
    </xf>
    <xf numFmtId="0" fontId="13" fillId="0" borderId="6" xfId="0" applyFont="1" applyBorder="1" applyAlignment="1">
      <alignment vertical="top" wrapText="1"/>
    </xf>
    <xf numFmtId="0" fontId="13" fillId="0" borderId="6" xfId="0" applyFont="1" applyBorder="1" applyAlignment="1">
      <alignment horizontal="left" vertical="top" wrapText="1"/>
    </xf>
    <xf numFmtId="0" fontId="13" fillId="0" borderId="8" xfId="0" applyFont="1" applyBorder="1" applyAlignment="1">
      <alignment horizontal="right" vertical="top" wrapText="1"/>
    </xf>
    <xf numFmtId="0" fontId="13" fillId="0" borderId="6" xfId="0" applyFont="1" applyBorder="1" applyAlignment="1">
      <alignment vertical="top"/>
    </xf>
    <xf numFmtId="0" fontId="11" fillId="0" borderId="12" xfId="0" applyFont="1" applyBorder="1" applyAlignment="1">
      <alignment vertical="top" wrapText="1"/>
    </xf>
    <xf numFmtId="0" fontId="8" fillId="11" borderId="4" xfId="0" applyFont="1" applyFill="1" applyBorder="1" applyAlignment="1">
      <alignment vertical="top" wrapText="1"/>
    </xf>
    <xf numFmtId="0" fontId="14" fillId="11" borderId="1" xfId="0" applyFont="1" applyFill="1" applyBorder="1" applyAlignment="1">
      <alignment vertical="top" wrapText="1"/>
    </xf>
    <xf numFmtId="0" fontId="8" fillId="9" borderId="6" xfId="0" applyFont="1" applyFill="1" applyBorder="1" applyAlignment="1">
      <alignment horizontal="right" vertical="top" wrapText="1"/>
    </xf>
    <xf numFmtId="0" fontId="8" fillId="9" borderId="9" xfId="0" applyFont="1" applyFill="1" applyBorder="1" applyAlignment="1">
      <alignment horizontal="right" vertical="top" wrapText="1"/>
    </xf>
    <xf numFmtId="0" fontId="15" fillId="10" borderId="6" xfId="0" applyFont="1" applyFill="1" applyBorder="1" applyAlignment="1">
      <alignment vertical="top"/>
    </xf>
    <xf numFmtId="0" fontId="15" fillId="10" borderId="12" xfId="0" applyFont="1" applyFill="1" applyBorder="1" applyAlignment="1">
      <alignment vertical="top"/>
    </xf>
    <xf numFmtId="0" fontId="15" fillId="10" borderId="9" xfId="0" applyFont="1" applyFill="1" applyBorder="1" applyAlignment="1">
      <alignment vertical="top"/>
    </xf>
    <xf numFmtId="0" fontId="10" fillId="0" borderId="8" xfId="0" applyFont="1" applyBorder="1" applyAlignment="1">
      <alignment vertical="top" wrapText="1"/>
    </xf>
    <xf numFmtId="0" fontId="11" fillId="0" borderId="8" xfId="0" applyFont="1" applyBorder="1" applyAlignment="1">
      <alignment horizontal="left" vertical="top"/>
    </xf>
    <xf numFmtId="0" fontId="11" fillId="0" borderId="8" xfId="0" applyFont="1" applyBorder="1" applyAlignment="1">
      <alignment vertical="top"/>
    </xf>
    <xf numFmtId="0" fontId="11" fillId="0" borderId="8" xfId="0" applyFont="1" applyBorder="1" applyAlignment="1">
      <alignment horizontal="center" vertical="top"/>
    </xf>
    <xf numFmtId="0" fontId="10" fillId="0" borderId="6" xfId="0" applyFont="1" applyBorder="1" applyAlignment="1">
      <alignment vertical="top" wrapText="1"/>
    </xf>
    <xf numFmtId="0" fontId="11" fillId="0" borderId="6" xfId="0" applyFont="1" applyBorder="1" applyAlignment="1">
      <alignment horizontal="left" vertical="top"/>
    </xf>
    <xf numFmtId="0" fontId="11" fillId="0" borderId="6" xfId="0" applyFont="1" applyBorder="1" applyAlignment="1">
      <alignment vertical="top"/>
    </xf>
    <xf numFmtId="0" fontId="11" fillId="0" borderId="6" xfId="0" applyFont="1" applyBorder="1" applyAlignment="1">
      <alignment horizontal="center" vertical="top"/>
    </xf>
    <xf numFmtId="0" fontId="16" fillId="12" borderId="6" xfId="0" applyFont="1" applyFill="1" applyBorder="1" applyAlignment="1">
      <alignment horizontal="left" vertical="top"/>
    </xf>
    <xf numFmtId="0" fontId="16" fillId="12" borderId="6" xfId="0" applyFont="1" applyFill="1" applyBorder="1" applyAlignment="1">
      <alignment horizontal="left" vertical="top" wrapText="1"/>
    </xf>
    <xf numFmtId="0" fontId="17" fillId="0" borderId="0" xfId="0" applyFont="1" applyAlignment="1">
      <alignment vertical="top"/>
    </xf>
    <xf numFmtId="0" fontId="9" fillId="0" borderId="8" xfId="0" applyFont="1" applyBorder="1" applyAlignment="1">
      <alignment vertical="top"/>
    </xf>
    <xf numFmtId="0" fontId="13" fillId="14" borderId="6" xfId="0" applyFont="1" applyFill="1" applyBorder="1" applyAlignment="1">
      <alignment horizontal="left" vertical="top" wrapText="1"/>
    </xf>
    <xf numFmtId="0" fontId="13" fillId="14" borderId="6" xfId="0" applyFont="1" applyFill="1" applyBorder="1" applyAlignment="1">
      <alignment horizontal="left" vertical="top"/>
    </xf>
    <xf numFmtId="0" fontId="9" fillId="0" borderId="8" xfId="0" applyFont="1" applyBorder="1" applyAlignment="1">
      <alignment vertical="top" wrapText="1"/>
    </xf>
    <xf numFmtId="0" fontId="9" fillId="0" borderId="6" xfId="0" applyFont="1" applyBorder="1" applyAlignment="1">
      <alignment vertical="top" wrapText="1"/>
    </xf>
    <xf numFmtId="0" fontId="9" fillId="0" borderId="0" xfId="0" applyFont="1"/>
    <xf numFmtId="0" fontId="9" fillId="0" borderId="6" xfId="0" applyFont="1" applyBorder="1" applyAlignment="1">
      <alignment wrapText="1"/>
    </xf>
    <xf numFmtId="0" fontId="8" fillId="7" borderId="6" xfId="0" applyFont="1" applyFill="1" applyBorder="1" applyAlignment="1">
      <alignment horizontal="left" vertical="center" wrapText="1"/>
    </xf>
    <xf numFmtId="0" fontId="9" fillId="0" borderId="0" xfId="0" applyFont="1" applyAlignment="1">
      <alignment vertical="center"/>
    </xf>
    <xf numFmtId="0" fontId="11" fillId="15" borderId="6" xfId="0" applyFont="1" applyFill="1" applyBorder="1" applyAlignment="1">
      <alignment horizontal="left" vertical="top" wrapText="1"/>
    </xf>
    <xf numFmtId="0" fontId="11" fillId="15" borderId="6" xfId="0" applyFont="1" applyFill="1" applyBorder="1" applyAlignment="1">
      <alignment horizontal="right" vertical="top" wrapText="1"/>
    </xf>
    <xf numFmtId="0" fontId="11" fillId="15" borderId="8" xfId="0" applyFont="1" applyFill="1" applyBorder="1" applyAlignment="1">
      <alignment vertical="top" wrapText="1"/>
    </xf>
    <xf numFmtId="0" fontId="11" fillId="15" borderId="8" xfId="0" applyFont="1" applyFill="1" applyBorder="1" applyAlignment="1">
      <alignment horizontal="left" vertical="top" wrapText="1"/>
    </xf>
    <xf numFmtId="0" fontId="11" fillId="0" borderId="5" xfId="0" applyFont="1" applyBorder="1" applyAlignment="1">
      <alignment vertical="top" wrapText="1"/>
    </xf>
    <xf numFmtId="0" fontId="9" fillId="0" borderId="6" xfId="0" applyFont="1" applyBorder="1" applyAlignment="1">
      <alignment horizontal="left" vertical="top" wrapText="1"/>
    </xf>
    <xf numFmtId="0" fontId="11" fillId="0" borderId="14" xfId="0" applyFont="1" applyBorder="1" applyAlignment="1">
      <alignment horizontal="left" vertical="top" wrapText="1"/>
    </xf>
    <xf numFmtId="0" fontId="11" fillId="0" borderId="15" xfId="0" applyFont="1" applyBorder="1" applyAlignment="1">
      <alignment horizontal="left" vertical="top" wrapText="1"/>
    </xf>
    <xf numFmtId="0" fontId="11" fillId="0" borderId="19" xfId="0" applyFont="1" applyBorder="1" applyAlignment="1">
      <alignment horizontal="left" vertical="top" wrapText="1"/>
    </xf>
    <xf numFmtId="0" fontId="11" fillId="0" borderId="17" xfId="0" applyFont="1" applyBorder="1" applyAlignment="1">
      <alignment horizontal="left" vertical="top" wrapText="1"/>
    </xf>
    <xf numFmtId="0" fontId="9" fillId="0" borderId="0" xfId="0" applyFont="1" applyAlignment="1">
      <alignment vertical="top" wrapText="1"/>
    </xf>
    <xf numFmtId="0" fontId="13" fillId="0" borderId="8" xfId="0" applyFont="1" applyBorder="1" applyAlignment="1">
      <alignment horizontal="left" vertical="top" wrapText="1"/>
    </xf>
    <xf numFmtId="0" fontId="13" fillId="0" borderId="7" xfId="0" applyFont="1" applyBorder="1" applyAlignment="1">
      <alignment horizontal="left" vertical="top" wrapText="1"/>
    </xf>
    <xf numFmtId="0" fontId="8" fillId="7" borderId="15" xfId="0" applyFont="1" applyFill="1" applyBorder="1" applyAlignment="1">
      <alignment horizontal="left" vertical="top"/>
    </xf>
    <xf numFmtId="0" fontId="8" fillId="7" borderId="14" xfId="0" applyFont="1" applyFill="1" applyBorder="1" applyAlignment="1">
      <alignment horizontal="left" vertical="top" wrapText="1"/>
    </xf>
    <xf numFmtId="0" fontId="11" fillId="16" borderId="16" xfId="0" applyFont="1" applyFill="1" applyBorder="1" applyAlignment="1">
      <alignment horizontal="left" vertical="top"/>
    </xf>
    <xf numFmtId="0" fontId="11" fillId="16" borderId="20" xfId="0" applyFont="1" applyFill="1" applyBorder="1" applyAlignment="1">
      <alignment horizontal="left" vertical="top" wrapText="1"/>
    </xf>
    <xf numFmtId="0" fontId="11" fillId="16" borderId="16" xfId="0" applyFont="1" applyFill="1" applyBorder="1" applyAlignment="1">
      <alignment horizontal="left" vertical="top" wrapText="1"/>
    </xf>
    <xf numFmtId="0" fontId="11" fillId="16" borderId="22" xfId="0" applyFont="1" applyFill="1" applyBorder="1" applyAlignment="1">
      <alignment horizontal="left" vertical="top" wrapText="1"/>
    </xf>
    <xf numFmtId="0" fontId="19" fillId="7" borderId="12" xfId="0" applyFont="1" applyFill="1" applyBorder="1" applyAlignment="1">
      <alignment horizontal="left" vertical="top" wrapText="1"/>
    </xf>
    <xf numFmtId="0" fontId="19" fillId="7" borderId="6" xfId="0" applyFont="1" applyFill="1" applyBorder="1" applyAlignment="1">
      <alignment horizontal="left" vertical="top" wrapText="1"/>
    </xf>
    <xf numFmtId="0" fontId="19" fillId="7" borderId="8" xfId="0" applyFont="1" applyFill="1" applyBorder="1" applyAlignment="1">
      <alignment horizontal="left" vertical="top" wrapText="1"/>
    </xf>
    <xf numFmtId="0" fontId="19" fillId="7" borderId="8" xfId="0" applyFont="1" applyFill="1" applyBorder="1" applyAlignment="1">
      <alignment horizontal="right" vertical="top" wrapText="1"/>
    </xf>
    <xf numFmtId="0" fontId="19" fillId="13" borderId="13" xfId="0" applyFont="1" applyFill="1" applyBorder="1" applyAlignment="1">
      <alignment horizontal="left" vertical="top" wrapText="1"/>
    </xf>
    <xf numFmtId="0" fontId="19" fillId="13" borderId="6" xfId="0" applyFont="1" applyFill="1" applyBorder="1" applyAlignment="1">
      <alignment horizontal="left" vertical="top" wrapText="1"/>
    </xf>
    <xf numFmtId="0" fontId="19" fillId="13" borderId="8" xfId="0" applyFont="1" applyFill="1" applyBorder="1" applyAlignment="1">
      <alignment horizontal="left" vertical="top" wrapText="1"/>
    </xf>
    <xf numFmtId="0" fontId="19" fillId="13" borderId="8" xfId="0" applyFont="1" applyFill="1" applyBorder="1" applyAlignment="1">
      <alignment horizontal="right" vertical="top" wrapText="1"/>
    </xf>
    <xf numFmtId="0" fontId="8" fillId="17" borderId="11" xfId="0" applyFont="1" applyFill="1" applyBorder="1" applyAlignment="1">
      <alignment vertical="top" wrapText="1"/>
    </xf>
    <xf numFmtId="0" fontId="8" fillId="17" borderId="8" xfId="0" applyFont="1" applyFill="1" applyBorder="1" applyAlignment="1">
      <alignment vertical="top" wrapText="1"/>
    </xf>
    <xf numFmtId="0" fontId="8" fillId="17" borderId="6" xfId="0" applyFont="1" applyFill="1" applyBorder="1" applyAlignment="1">
      <alignment vertical="top" wrapText="1"/>
    </xf>
    <xf numFmtId="0" fontId="11" fillId="0" borderId="12" xfId="0" applyFont="1" applyBorder="1" applyAlignment="1">
      <alignment horizontal="left" vertical="top" wrapText="1"/>
    </xf>
    <xf numFmtId="0" fontId="11" fillId="0" borderId="6" xfId="0" applyFont="1" applyBorder="1" applyAlignment="1">
      <alignment horizontal="left" wrapText="1"/>
    </xf>
    <xf numFmtId="0" fontId="11" fillId="0" borderId="11" xfId="0" applyFont="1" applyBorder="1" applyAlignment="1">
      <alignment horizontal="left" wrapText="1"/>
    </xf>
    <xf numFmtId="0" fontId="11" fillId="0" borderId="22" xfId="0" applyFont="1" applyBorder="1" applyAlignment="1">
      <alignment horizontal="left" vertical="top" wrapText="1"/>
    </xf>
    <xf numFmtId="0" fontId="11" fillId="0" borderId="3" xfId="0" applyFont="1" applyBorder="1" applyAlignment="1">
      <alignment horizontal="left" vertical="top" wrapText="1"/>
    </xf>
    <xf numFmtId="0" fontId="11" fillId="0" borderId="11" xfId="0" applyFont="1" applyBorder="1" applyAlignment="1">
      <alignment horizontal="left" vertical="top" wrapText="1"/>
    </xf>
    <xf numFmtId="0" fontId="11" fillId="0" borderId="9" xfId="0" applyFont="1" applyBorder="1" applyAlignment="1">
      <alignment horizontal="left" vertical="top" wrapText="1"/>
    </xf>
    <xf numFmtId="0" fontId="11" fillId="0" borderId="16" xfId="0" applyFont="1" applyBorder="1" applyAlignment="1">
      <alignment horizontal="left" vertical="top" wrapText="1"/>
    </xf>
    <xf numFmtId="0" fontId="11" fillId="0" borderId="18" xfId="0" applyFont="1" applyBorder="1" applyAlignment="1">
      <alignment horizontal="left" vertical="top" wrapText="1"/>
    </xf>
    <xf numFmtId="0" fontId="6" fillId="7" borderId="8" xfId="0" applyFont="1" applyFill="1" applyBorder="1" applyAlignment="1">
      <alignment horizontal="left" vertical="center" wrapText="1"/>
    </xf>
    <xf numFmtId="0" fontId="0" fillId="0" borderId="0" xfId="0" applyAlignment="1">
      <alignment wrapText="1"/>
    </xf>
    <xf numFmtId="0" fontId="9" fillId="0" borderId="0" xfId="0" applyFont="1" applyAlignment="1">
      <alignment horizontal="left" vertical="center"/>
    </xf>
    <xf numFmtId="0" fontId="8" fillId="7" borderId="8" xfId="0" applyFont="1" applyFill="1" applyBorder="1" applyAlignment="1">
      <alignment horizontal="left" vertical="center"/>
    </xf>
    <xf numFmtId="0" fontId="11" fillId="0" borderId="9" xfId="0" applyFont="1" applyBorder="1" applyAlignment="1">
      <alignment horizontal="left" vertical="top"/>
    </xf>
    <xf numFmtId="0" fontId="13" fillId="0" borderId="16" xfId="0" applyFont="1" applyBorder="1" applyAlignment="1">
      <alignment horizontal="left" vertical="top" wrapText="1"/>
    </xf>
    <xf numFmtId="0" fontId="11" fillId="0" borderId="11" xfId="0" applyFont="1" applyBorder="1" applyAlignment="1">
      <alignment horizontal="left" vertical="top"/>
    </xf>
    <xf numFmtId="0" fontId="13" fillId="0" borderId="9" xfId="0" applyFont="1" applyBorder="1" applyAlignment="1">
      <alignment horizontal="left" vertical="top" wrapText="1"/>
    </xf>
    <xf numFmtId="0" fontId="8" fillId="7" borderId="6" xfId="0" applyFont="1" applyFill="1" applyBorder="1" applyAlignment="1">
      <alignment vertical="center"/>
    </xf>
    <xf numFmtId="0" fontId="13" fillId="0" borderId="23" xfId="0" applyFont="1" applyBorder="1" applyAlignment="1">
      <alignment horizontal="left" vertical="top" wrapText="1"/>
    </xf>
    <xf numFmtId="0" fontId="11" fillId="0" borderId="6" xfId="0" applyFont="1" applyBorder="1" applyAlignment="1">
      <alignment vertical="center"/>
    </xf>
    <xf numFmtId="0" fontId="11" fillId="0" borderId="11" xfId="0" applyFont="1" applyBorder="1" applyAlignment="1">
      <alignment vertical="center"/>
    </xf>
    <xf numFmtId="0" fontId="11" fillId="0" borderId="7" xfId="0" applyFont="1" applyBorder="1" applyAlignment="1">
      <alignment vertical="center"/>
    </xf>
    <xf numFmtId="0" fontId="14" fillId="7" borderId="6" xfId="0" applyFont="1" applyFill="1" applyBorder="1" applyAlignment="1">
      <alignment horizontal="left" vertical="center" wrapText="1"/>
    </xf>
    <xf numFmtId="0" fontId="9" fillId="0" borderId="6" xfId="0" applyFont="1" applyBorder="1" applyAlignment="1">
      <alignment horizontal="left" vertical="top"/>
    </xf>
    <xf numFmtId="0" fontId="11" fillId="0" borderId="7" xfId="0" applyFont="1" applyBorder="1" applyAlignment="1">
      <alignment vertical="top" wrapText="1"/>
    </xf>
    <xf numFmtId="0" fontId="11" fillId="0" borderId="11" xfId="0" applyFont="1" applyBorder="1" applyAlignment="1">
      <alignment vertical="top" wrapText="1"/>
    </xf>
    <xf numFmtId="0" fontId="9" fillId="0" borderId="6" xfId="0" applyFont="1" applyBorder="1"/>
    <xf numFmtId="0" fontId="9" fillId="0" borderId="24" xfId="0" applyFont="1" applyBorder="1"/>
    <xf numFmtId="0" fontId="12" fillId="12" borderId="6" xfId="0" applyFont="1" applyFill="1" applyBorder="1" applyAlignment="1">
      <alignment horizontal="left" vertical="top"/>
    </xf>
    <xf numFmtId="0" fontId="7" fillId="7" borderId="9" xfId="0" applyFont="1" applyFill="1" applyBorder="1" applyAlignment="1">
      <alignment horizontal="center" vertical="center" wrapText="1"/>
    </xf>
    <xf numFmtId="0" fontId="7" fillId="7" borderId="12" xfId="0" applyFont="1" applyFill="1" applyBorder="1" applyAlignment="1">
      <alignment horizontal="center" vertical="center" wrapText="1"/>
    </xf>
    <xf numFmtId="0" fontId="8" fillId="11" borderId="6" xfId="0" applyFont="1" applyFill="1" applyBorder="1" applyAlignment="1">
      <alignment horizontal="right" vertical="top" wrapText="1"/>
    </xf>
    <xf numFmtId="0" fontId="8" fillId="11" borderId="8" xfId="0" applyFont="1" applyFill="1" applyBorder="1" applyAlignment="1">
      <alignment horizontal="right" vertical="top" wrapText="1"/>
    </xf>
    <xf numFmtId="0" fontId="8" fillId="11" borderId="7" xfId="0" applyFont="1" applyFill="1" applyBorder="1" applyAlignment="1">
      <alignment horizontal="right" vertical="top" wrapText="1"/>
    </xf>
    <xf numFmtId="0" fontId="8" fillId="11" borderId="11" xfId="0" applyFont="1" applyFill="1" applyBorder="1" applyAlignment="1">
      <alignment horizontal="right" vertical="top" wrapText="1"/>
    </xf>
    <xf numFmtId="0" fontId="8" fillId="17" borderId="8" xfId="0" applyFont="1" applyFill="1" applyBorder="1" applyAlignment="1">
      <alignment horizontal="right" vertical="top" wrapText="1"/>
    </xf>
    <xf numFmtId="0" fontId="8" fillId="17" borderId="7" xfId="0" applyFont="1" applyFill="1" applyBorder="1" applyAlignment="1">
      <alignment horizontal="right" vertical="top" wrapText="1"/>
    </xf>
    <xf numFmtId="0" fontId="8" fillId="17" borderId="11" xfId="0" applyFont="1" applyFill="1" applyBorder="1" applyAlignment="1">
      <alignment horizontal="right" vertical="top" wrapText="1"/>
    </xf>
    <xf numFmtId="0" fontId="8" fillId="17" borderId="6" xfId="0" applyFont="1" applyFill="1" applyBorder="1" applyAlignment="1">
      <alignment horizontal="right" vertical="top" wrapText="1"/>
    </xf>
    <xf numFmtId="0" fontId="10" fillId="0" borderId="6" xfId="0" applyFont="1" applyBorder="1" applyAlignment="1">
      <alignment horizontal="center" vertical="center" textRotation="90" wrapText="1"/>
    </xf>
    <xf numFmtId="0" fontId="18" fillId="0" borderId="8" xfId="0" applyFont="1" applyBorder="1" applyAlignment="1">
      <alignment horizontal="center" vertical="center" textRotation="90"/>
    </xf>
    <xf numFmtId="0" fontId="18" fillId="0" borderId="7" xfId="0" applyFont="1" applyBorder="1" applyAlignment="1">
      <alignment horizontal="center" vertical="center" textRotation="90"/>
    </xf>
    <xf numFmtId="0" fontId="18" fillId="0" borderId="11" xfId="0" applyFont="1" applyBorder="1" applyAlignment="1">
      <alignment horizontal="center" vertical="center" textRotation="90"/>
    </xf>
    <xf numFmtId="0" fontId="11" fillId="0" borderId="8" xfId="0" applyFont="1" applyBorder="1" applyAlignment="1">
      <alignment horizontal="center" vertical="center" wrapText="1"/>
    </xf>
    <xf numFmtId="0" fontId="11" fillId="0" borderId="11" xfId="0" applyFont="1" applyBorder="1" applyAlignment="1">
      <alignment horizontal="center" vertical="center" wrapText="1"/>
    </xf>
    <xf numFmtId="0" fontId="8" fillId="8" borderId="9" xfId="0" applyFont="1" applyFill="1" applyBorder="1" applyAlignment="1">
      <alignment horizontal="right" vertical="top" wrapText="1"/>
    </xf>
    <xf numFmtId="0" fontId="8" fillId="8" borderId="10" xfId="0" applyFont="1" applyFill="1" applyBorder="1" applyAlignment="1">
      <alignment horizontal="right" vertical="top" wrapText="1"/>
    </xf>
    <xf numFmtId="0" fontId="8" fillId="8" borderId="12" xfId="0" applyFont="1" applyFill="1" applyBorder="1" applyAlignment="1">
      <alignment horizontal="right" vertical="top" wrapText="1"/>
    </xf>
    <xf numFmtId="0" fontId="18" fillId="0" borderId="6" xfId="0" applyFont="1" applyBorder="1" applyAlignment="1">
      <alignment horizontal="center" vertical="center" textRotation="90" wrapText="1"/>
    </xf>
    <xf numFmtId="0" fontId="18" fillId="0" borderId="13" xfId="0" applyFont="1" applyBorder="1" applyAlignment="1">
      <alignment horizontal="center" vertical="center" textRotation="90"/>
    </xf>
    <xf numFmtId="0" fontId="18" fillId="0" borderId="3" xfId="0" applyFont="1" applyBorder="1" applyAlignment="1">
      <alignment horizontal="center" vertical="center" textRotation="90"/>
    </xf>
    <xf numFmtId="0" fontId="18" fillId="0" borderId="6" xfId="0" applyFont="1" applyBorder="1" applyAlignment="1">
      <alignment horizontal="center" vertical="center" textRotation="90"/>
    </xf>
    <xf numFmtId="0" fontId="10" fillId="0" borderId="8" xfId="0" applyFont="1" applyBorder="1" applyAlignment="1">
      <alignment horizontal="center" vertical="center" textRotation="90" wrapText="1"/>
    </xf>
    <xf numFmtId="0" fontId="10" fillId="0" borderId="7" xfId="0" applyFont="1" applyBorder="1" applyAlignment="1">
      <alignment horizontal="center" vertical="center" textRotation="90" wrapText="1"/>
    </xf>
    <xf numFmtId="0" fontId="10" fillId="0" borderId="11" xfId="0" applyFont="1" applyBorder="1" applyAlignment="1">
      <alignment horizontal="center" vertical="center" textRotation="90" wrapText="1"/>
    </xf>
    <xf numFmtId="0" fontId="11" fillId="0" borderId="8" xfId="0" applyFont="1" applyBorder="1" applyAlignment="1">
      <alignment horizontal="right" vertical="top" wrapText="1"/>
    </xf>
    <xf numFmtId="0" fontId="11" fillId="0" borderId="7" xfId="0" applyFont="1" applyBorder="1" applyAlignment="1">
      <alignment horizontal="right" vertical="top" wrapText="1"/>
    </xf>
    <xf numFmtId="0" fontId="11" fillId="0" borderId="11" xfId="0" applyFont="1" applyBorder="1" applyAlignment="1">
      <alignment horizontal="right" vertical="top" wrapText="1"/>
    </xf>
    <xf numFmtId="0" fontId="11" fillId="0" borderId="8" xfId="0" applyFont="1" applyBorder="1" applyAlignment="1">
      <alignment horizontal="left" vertical="top" wrapText="1"/>
    </xf>
    <xf numFmtId="0" fontId="11" fillId="0" borderId="7" xfId="0" applyFont="1" applyBorder="1" applyAlignment="1">
      <alignment horizontal="left" vertical="top" wrapText="1"/>
    </xf>
    <xf numFmtId="0" fontId="11" fillId="0" borderId="11" xfId="0" applyFont="1" applyBorder="1" applyAlignment="1">
      <alignment horizontal="left" vertical="top" wrapText="1"/>
    </xf>
    <xf numFmtId="0" fontId="2" fillId="5" borderId="6" xfId="0" applyFont="1" applyFill="1" applyBorder="1" applyAlignment="1">
      <alignment horizontal="left" vertical="top" wrapText="1"/>
    </xf>
    <xf numFmtId="0" fontId="2" fillId="5" borderId="8" xfId="0" applyFont="1" applyFill="1" applyBorder="1" applyAlignment="1">
      <alignment horizontal="left" vertical="top" wrapText="1"/>
    </xf>
    <xf numFmtId="0" fontId="2" fillId="5" borderId="11" xfId="0" applyFont="1" applyFill="1" applyBorder="1" applyAlignment="1">
      <alignment horizontal="left" vertical="top" wrapText="1"/>
    </xf>
    <xf numFmtId="0" fontId="2" fillId="5" borderId="7" xfId="0" applyFont="1" applyFill="1" applyBorder="1" applyAlignment="1">
      <alignment horizontal="left" vertical="top" wrapText="1"/>
    </xf>
    <xf numFmtId="0" fontId="2" fillId="6" borderId="6" xfId="0" applyFont="1" applyFill="1" applyBorder="1" applyAlignment="1">
      <alignment horizontal="center" vertical="center"/>
    </xf>
    <xf numFmtId="0" fontId="11" fillId="0" borderId="6" xfId="0" applyFont="1" applyBorder="1" applyAlignment="1">
      <alignment horizontal="left" vertical="top" wrapText="1"/>
    </xf>
    <xf numFmtId="0" fontId="9" fillId="0" borderId="8" xfId="0" applyFont="1" applyBorder="1" applyAlignment="1">
      <alignment horizontal="left" vertical="top" wrapText="1"/>
    </xf>
    <xf numFmtId="0" fontId="9" fillId="0" borderId="7" xfId="0" applyFont="1" applyBorder="1" applyAlignment="1">
      <alignment horizontal="left" vertical="top" wrapText="1"/>
    </xf>
    <xf numFmtId="0" fontId="9" fillId="0" borderId="11" xfId="0" applyFont="1" applyBorder="1" applyAlignment="1">
      <alignment horizontal="left" vertical="top" wrapText="1"/>
    </xf>
    <xf numFmtId="0" fontId="9" fillId="0" borderId="13" xfId="0" applyFont="1" applyBorder="1" applyAlignment="1">
      <alignment horizontal="left" vertical="top" wrapText="1"/>
    </xf>
    <xf numFmtId="0" fontId="9" fillId="0" borderId="3" xfId="0" applyFont="1" applyBorder="1" applyAlignment="1">
      <alignment horizontal="left" vertical="top" wrapText="1"/>
    </xf>
    <xf numFmtId="0" fontId="9" fillId="0" borderId="6" xfId="0" applyFont="1" applyBorder="1" applyAlignment="1">
      <alignment horizontal="left" vertical="top"/>
    </xf>
    <xf numFmtId="0" fontId="13" fillId="0" borderId="8" xfId="0" applyFont="1" applyBorder="1" applyAlignment="1">
      <alignment horizontal="left" vertical="top" wrapText="1"/>
    </xf>
    <xf numFmtId="0" fontId="13" fillId="0" borderId="7" xfId="0" applyFont="1" applyBorder="1" applyAlignment="1">
      <alignment horizontal="left" vertical="top" wrapText="1"/>
    </xf>
    <xf numFmtId="0" fontId="13" fillId="0" borderId="11" xfId="0" applyFont="1" applyBorder="1" applyAlignment="1">
      <alignment horizontal="left" vertical="top" wrapText="1"/>
    </xf>
    <xf numFmtId="0" fontId="11" fillId="0" borderId="8" xfId="0" applyFont="1" applyBorder="1" applyAlignment="1">
      <alignment horizontal="left" vertical="top"/>
    </xf>
    <xf numFmtId="0" fontId="11" fillId="0" borderId="7" xfId="0" applyFont="1" applyBorder="1" applyAlignment="1">
      <alignment horizontal="left" vertical="top"/>
    </xf>
    <xf numFmtId="0" fontId="11" fillId="0" borderId="11" xfId="0" applyFont="1" applyBorder="1" applyAlignment="1">
      <alignment horizontal="left" vertical="top"/>
    </xf>
    <xf numFmtId="0" fontId="11" fillId="0" borderId="6" xfId="0" applyFont="1" applyBorder="1" applyAlignment="1">
      <alignment horizontal="left" vertical="top"/>
    </xf>
    <xf numFmtId="0" fontId="9" fillId="0" borderId="8" xfId="0" applyFont="1" applyBorder="1" applyAlignment="1">
      <alignment horizontal="left" vertical="top"/>
    </xf>
    <xf numFmtId="0" fontId="9" fillId="0" borderId="7" xfId="0" applyFont="1" applyBorder="1" applyAlignment="1">
      <alignment horizontal="left" vertical="top"/>
    </xf>
    <xf numFmtId="0" fontId="9" fillId="0" borderId="11" xfId="0" applyFont="1" applyBorder="1" applyAlignment="1">
      <alignment horizontal="left" vertical="top"/>
    </xf>
    <xf numFmtId="0" fontId="11" fillId="0" borderId="8" xfId="0" applyFont="1" applyBorder="1" applyAlignment="1">
      <alignment horizontal="left" vertical="center"/>
    </xf>
    <xf numFmtId="0" fontId="11" fillId="0" borderId="11" xfId="0" applyFont="1" applyBorder="1" applyAlignment="1">
      <alignment horizontal="left" vertical="center"/>
    </xf>
    <xf numFmtId="0" fontId="11" fillId="0" borderId="21" xfId="0" applyFont="1" applyBorder="1" applyAlignment="1">
      <alignment horizontal="left" vertical="top"/>
    </xf>
    <xf numFmtId="0" fontId="11" fillId="0" borderId="18" xfId="0" applyFont="1" applyBorder="1" applyAlignment="1">
      <alignment horizontal="left" vertical="top"/>
    </xf>
    <xf numFmtId="0" fontId="11" fillId="16" borderId="18" xfId="0" applyFont="1" applyFill="1" applyBorder="1" applyAlignment="1">
      <alignment horizontal="left" vertical="top" wrapText="1"/>
    </xf>
    <xf numFmtId="0" fontId="11" fillId="16" borderId="6"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colors>
    <mruColors>
      <color rgb="FF639BD5"/>
      <color rgb="FF00004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B0F0"/>
  </sheetPr>
  <dimension ref="A1:B11"/>
  <sheetViews>
    <sheetView showGridLines="0" workbookViewId="0">
      <pane ySplit="1" topLeftCell="A2" activePane="bottomLeft" state="frozen"/>
      <selection pane="bottomLeft" sqref="A1:B1"/>
    </sheetView>
  </sheetViews>
  <sheetFormatPr defaultRowHeight="14.5" x14ac:dyDescent="0.35"/>
  <cols>
    <col min="1" max="1" width="41" bestFit="1" customWidth="1"/>
    <col min="2" max="2" width="59.81640625" bestFit="1" customWidth="1"/>
  </cols>
  <sheetData>
    <row r="1" spans="1:2" ht="30" customHeight="1" x14ac:dyDescent="0.35">
      <c r="A1" s="127" t="s">
        <v>688</v>
      </c>
      <c r="B1" s="128"/>
    </row>
    <row r="2" spans="1:2" x14ac:dyDescent="0.35">
      <c r="A2" s="1" t="s">
        <v>0</v>
      </c>
      <c r="B2" s="2" t="s">
        <v>689</v>
      </c>
    </row>
    <row r="3" spans="1:2" x14ac:dyDescent="0.35">
      <c r="A3" s="1"/>
      <c r="B3" s="2"/>
    </row>
    <row r="4" spans="1:2" x14ac:dyDescent="0.35">
      <c r="A4" s="1" t="s">
        <v>1</v>
      </c>
      <c r="B4" s="2" t="s">
        <v>2</v>
      </c>
    </row>
    <row r="5" spans="1:2" x14ac:dyDescent="0.35">
      <c r="A5" s="1"/>
      <c r="B5" s="2"/>
    </row>
    <row r="6" spans="1:2" ht="29" x14ac:dyDescent="0.35">
      <c r="A6" s="1" t="s">
        <v>3</v>
      </c>
      <c r="B6" s="2" t="s">
        <v>4</v>
      </c>
    </row>
    <row r="7" spans="1:2" x14ac:dyDescent="0.35">
      <c r="A7" s="1"/>
      <c r="B7" s="2"/>
    </row>
    <row r="8" spans="1:2" x14ac:dyDescent="0.35">
      <c r="A8" s="1"/>
      <c r="B8" s="2"/>
    </row>
    <row r="9" spans="1:2" x14ac:dyDescent="0.35">
      <c r="A9" s="1" t="s">
        <v>5</v>
      </c>
      <c r="B9" s="2" t="s">
        <v>690</v>
      </c>
    </row>
    <row r="10" spans="1:2" x14ac:dyDescent="0.35">
      <c r="A10" s="1"/>
      <c r="B10" s="2"/>
    </row>
    <row r="11" spans="1:2" ht="43.5" x14ac:dyDescent="0.35">
      <c r="A11" s="3" t="s">
        <v>6</v>
      </c>
      <c r="B11" s="4" t="s">
        <v>687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C5543-DC60-403B-AED9-739254EE574D}">
  <sheetPr>
    <tabColor rgb="FF000048"/>
  </sheetPr>
  <dimension ref="A1:K37"/>
  <sheetViews>
    <sheetView showGridLines="0" tabSelected="1" topLeftCell="B1" zoomScale="85" zoomScaleNormal="85" workbookViewId="0">
      <pane ySplit="1" topLeftCell="A21" activePane="bottomLeft" state="frozen"/>
      <selection pane="bottomLeft" activeCell="F22" sqref="F22:F26"/>
    </sheetView>
  </sheetViews>
  <sheetFormatPr defaultColWidth="8.7265625" defaultRowHeight="14" x14ac:dyDescent="0.35"/>
  <cols>
    <col min="1" max="1" width="8.7265625" style="21"/>
    <col min="2" max="2" width="12.81640625" style="21" customWidth="1"/>
    <col min="3" max="3" width="35.6328125" style="21" customWidth="1"/>
    <col min="4" max="4" width="37.453125" style="21" bestFit="1" customWidth="1"/>
    <col min="5" max="5" width="19.1796875" style="21" bestFit="1" customWidth="1"/>
    <col min="6" max="7" width="17.1796875" style="21" customWidth="1"/>
    <col min="8" max="8" width="14.81640625" style="21" customWidth="1"/>
    <col min="9" max="9" width="13.26953125" style="21" customWidth="1"/>
    <col min="10" max="10" width="14.453125" style="21" customWidth="1"/>
    <col min="11" max="11" width="17.54296875" style="21" customWidth="1"/>
    <col min="12" max="16384" width="8.7265625" style="21"/>
  </cols>
  <sheetData>
    <row r="1" spans="1:11" ht="42" x14ac:dyDescent="0.35">
      <c r="A1" s="17" t="s">
        <v>691</v>
      </c>
      <c r="B1" s="17" t="s">
        <v>7</v>
      </c>
      <c r="C1" s="18" t="s">
        <v>8</v>
      </c>
      <c r="D1" s="19" t="s">
        <v>9</v>
      </c>
      <c r="E1" s="19" t="s">
        <v>10</v>
      </c>
      <c r="F1" s="20" t="s">
        <v>11</v>
      </c>
      <c r="G1" s="20" t="s">
        <v>12</v>
      </c>
      <c r="H1" s="20" t="s">
        <v>13</v>
      </c>
      <c r="I1" s="20" t="s">
        <v>14</v>
      </c>
      <c r="J1" s="20" t="s">
        <v>15</v>
      </c>
      <c r="K1" s="20" t="s">
        <v>16</v>
      </c>
    </row>
    <row r="2" spans="1:11" x14ac:dyDescent="0.35">
      <c r="A2" s="146" t="s">
        <v>692</v>
      </c>
      <c r="B2" s="137" t="s">
        <v>371</v>
      </c>
      <c r="C2" s="26" t="s">
        <v>376</v>
      </c>
      <c r="D2" s="22" t="s">
        <v>697</v>
      </c>
      <c r="E2" s="156" t="s">
        <v>663</v>
      </c>
      <c r="F2" s="153">
        <v>40</v>
      </c>
      <c r="G2" s="24">
        <f>ROUND(F2/9,2)</f>
        <v>4.4400000000000004</v>
      </c>
      <c r="H2" s="23" t="s">
        <v>20</v>
      </c>
      <c r="I2" s="23"/>
      <c r="J2" s="136">
        <f>SUM(F2:F5)</f>
        <v>45</v>
      </c>
      <c r="K2" s="129">
        <f>ROUND(J2/45,2)</f>
        <v>1</v>
      </c>
    </row>
    <row r="3" spans="1:11" x14ac:dyDescent="0.35">
      <c r="A3" s="146"/>
      <c r="B3" s="137"/>
      <c r="C3" s="28" t="s">
        <v>377</v>
      </c>
      <c r="D3" s="23" t="s">
        <v>698</v>
      </c>
      <c r="E3" s="157"/>
      <c r="F3" s="154"/>
      <c r="G3" s="24">
        <f t="shared" ref="G3:G5" si="0">ROUND(F3/9,2)</f>
        <v>0</v>
      </c>
      <c r="H3" s="23" t="s">
        <v>20</v>
      </c>
      <c r="I3" s="23"/>
      <c r="J3" s="136"/>
      <c r="K3" s="129"/>
    </row>
    <row r="4" spans="1:11" ht="28" x14ac:dyDescent="0.35">
      <c r="A4" s="146"/>
      <c r="B4" s="137"/>
      <c r="C4" s="26" t="s">
        <v>378</v>
      </c>
      <c r="D4" s="23" t="s">
        <v>699</v>
      </c>
      <c r="E4" s="158"/>
      <c r="F4" s="155"/>
      <c r="G4" s="24">
        <f t="shared" si="0"/>
        <v>0</v>
      </c>
      <c r="H4" s="23" t="s">
        <v>20</v>
      </c>
      <c r="I4" s="23"/>
      <c r="J4" s="136"/>
      <c r="K4" s="129"/>
    </row>
    <row r="5" spans="1:11" x14ac:dyDescent="0.35">
      <c r="A5" s="146"/>
      <c r="B5" s="137"/>
      <c r="C5" s="68" t="s">
        <v>45</v>
      </c>
      <c r="D5" s="68" t="s">
        <v>46</v>
      </c>
      <c r="E5" s="68" t="s">
        <v>47</v>
      </c>
      <c r="F5" s="69">
        <v>5</v>
      </c>
      <c r="G5" s="24">
        <f t="shared" si="0"/>
        <v>0.56000000000000005</v>
      </c>
      <c r="H5" s="23" t="s">
        <v>18</v>
      </c>
      <c r="I5" s="23"/>
      <c r="J5" s="136"/>
      <c r="K5" s="129"/>
    </row>
    <row r="6" spans="1:11" ht="14.5" customHeight="1" x14ac:dyDescent="0.35">
      <c r="A6" s="147" t="s">
        <v>70</v>
      </c>
      <c r="B6" s="150" t="s">
        <v>382</v>
      </c>
      <c r="C6" s="22" t="s">
        <v>372</v>
      </c>
      <c r="D6" s="22" t="s">
        <v>123</v>
      </c>
      <c r="E6" s="23" t="s">
        <v>17</v>
      </c>
      <c r="F6" s="24">
        <v>9</v>
      </c>
      <c r="G6" s="24">
        <f>ROUND(F6/9,2)</f>
        <v>1</v>
      </c>
      <c r="H6" s="22" t="s">
        <v>18</v>
      </c>
      <c r="I6" s="23"/>
      <c r="J6" s="133">
        <f>SUM(F6:F13)</f>
        <v>145</v>
      </c>
      <c r="K6" s="131">
        <f>ROUND(J6/45,2)</f>
        <v>3.22</v>
      </c>
    </row>
    <row r="7" spans="1:11" x14ac:dyDescent="0.35">
      <c r="A7" s="148"/>
      <c r="B7" s="151"/>
      <c r="C7" s="25" t="s">
        <v>373</v>
      </c>
      <c r="D7" s="23" t="s">
        <v>374</v>
      </c>
      <c r="E7" s="23" t="s">
        <v>17</v>
      </c>
      <c r="F7" s="24">
        <v>9</v>
      </c>
      <c r="G7" s="24">
        <f>ROUND(F7/9,2)</f>
        <v>1</v>
      </c>
      <c r="H7" s="22" t="s">
        <v>18</v>
      </c>
      <c r="I7" s="23"/>
      <c r="J7" s="134"/>
      <c r="K7" s="131"/>
    </row>
    <row r="8" spans="1:11" x14ac:dyDescent="0.35">
      <c r="A8" s="148"/>
      <c r="B8" s="151"/>
      <c r="C8" s="26" t="s">
        <v>375</v>
      </c>
      <c r="D8" s="23" t="s">
        <v>19</v>
      </c>
      <c r="E8" s="22" t="s">
        <v>17</v>
      </c>
      <c r="F8" s="27">
        <v>9</v>
      </c>
      <c r="G8" s="24">
        <f>ROUND(F8/9,2)</f>
        <v>1</v>
      </c>
      <c r="H8" s="22" t="s">
        <v>20</v>
      </c>
      <c r="I8" s="22"/>
      <c r="J8" s="134"/>
      <c r="K8" s="131"/>
    </row>
    <row r="9" spans="1:11" ht="28" x14ac:dyDescent="0.35">
      <c r="A9" s="148"/>
      <c r="B9" s="151"/>
      <c r="C9" s="22" t="s">
        <v>379</v>
      </c>
      <c r="D9" s="28" t="s">
        <v>114</v>
      </c>
      <c r="E9" s="22" t="s">
        <v>17</v>
      </c>
      <c r="F9" s="27">
        <v>18</v>
      </c>
      <c r="G9" s="24">
        <f t="shared" ref="G9:G30" si="1">ROUND(F9/9,2)</f>
        <v>2</v>
      </c>
      <c r="H9" s="23" t="s">
        <v>20</v>
      </c>
      <c r="I9" s="23"/>
      <c r="J9" s="134"/>
      <c r="K9" s="131"/>
    </row>
    <row r="10" spans="1:11" x14ac:dyDescent="0.35">
      <c r="A10" s="148"/>
      <c r="B10" s="151"/>
      <c r="C10" s="22" t="s">
        <v>380</v>
      </c>
      <c r="D10" s="28" t="s">
        <v>112</v>
      </c>
      <c r="E10" s="22" t="s">
        <v>17</v>
      </c>
      <c r="F10" s="27">
        <v>18</v>
      </c>
      <c r="G10" s="24">
        <f t="shared" si="1"/>
        <v>2</v>
      </c>
      <c r="H10" s="23" t="s">
        <v>20</v>
      </c>
      <c r="I10" s="23"/>
      <c r="J10" s="134"/>
      <c r="K10" s="131"/>
    </row>
    <row r="11" spans="1:11" x14ac:dyDescent="0.35">
      <c r="A11" s="148"/>
      <c r="B11" s="151"/>
      <c r="C11" s="28" t="s">
        <v>384</v>
      </c>
      <c r="D11" s="28" t="s">
        <v>383</v>
      </c>
      <c r="E11" s="22" t="s">
        <v>17</v>
      </c>
      <c r="F11" s="27">
        <v>36</v>
      </c>
      <c r="G11" s="27">
        <f>ROUND(F11/9,2)</f>
        <v>4</v>
      </c>
      <c r="H11" s="22" t="s">
        <v>20</v>
      </c>
      <c r="I11" s="23"/>
      <c r="J11" s="134"/>
      <c r="K11" s="131"/>
    </row>
    <row r="12" spans="1:11" x14ac:dyDescent="0.35">
      <c r="A12" s="148"/>
      <c r="B12" s="151"/>
      <c r="C12" s="28" t="s">
        <v>381</v>
      </c>
      <c r="D12" s="28" t="s">
        <v>23</v>
      </c>
      <c r="E12" s="22" t="s">
        <v>17</v>
      </c>
      <c r="F12" s="27">
        <v>45</v>
      </c>
      <c r="G12" s="24">
        <f>ROUND(F12/9,2)</f>
        <v>5</v>
      </c>
      <c r="H12" s="22" t="s">
        <v>20</v>
      </c>
      <c r="I12" s="23"/>
      <c r="J12" s="134"/>
      <c r="K12" s="131"/>
    </row>
    <row r="13" spans="1:11" ht="28" x14ac:dyDescent="0.35">
      <c r="A13" s="148"/>
      <c r="B13" s="152"/>
      <c r="C13" s="68" t="s">
        <v>48</v>
      </c>
      <c r="D13" s="68" t="s">
        <v>49</v>
      </c>
      <c r="E13" s="68" t="s">
        <v>47</v>
      </c>
      <c r="F13" s="69">
        <v>1</v>
      </c>
      <c r="G13" s="27">
        <f t="shared" si="1"/>
        <v>0.11</v>
      </c>
      <c r="H13" s="22" t="s">
        <v>433</v>
      </c>
      <c r="I13" s="22"/>
      <c r="J13" s="135"/>
      <c r="K13" s="132"/>
    </row>
    <row r="14" spans="1:11" x14ac:dyDescent="0.35">
      <c r="A14" s="149" t="s">
        <v>71</v>
      </c>
      <c r="B14" s="150" t="s">
        <v>22</v>
      </c>
      <c r="C14" s="26" t="s">
        <v>385</v>
      </c>
      <c r="D14" s="28" t="s">
        <v>27</v>
      </c>
      <c r="E14" s="22" t="s">
        <v>17</v>
      </c>
      <c r="F14" s="27">
        <v>54</v>
      </c>
      <c r="G14" s="24">
        <f t="shared" si="1"/>
        <v>6</v>
      </c>
      <c r="H14" s="21" t="s">
        <v>20</v>
      </c>
      <c r="I14" s="22"/>
      <c r="J14" s="136">
        <f>SUM(F14:F18)</f>
        <v>108</v>
      </c>
      <c r="K14" s="129">
        <f>ROUND(J14/45,2)</f>
        <v>2.4</v>
      </c>
    </row>
    <row r="15" spans="1:11" x14ac:dyDescent="0.35">
      <c r="A15" s="149"/>
      <c r="B15" s="151"/>
      <c r="C15" s="26" t="s">
        <v>386</v>
      </c>
      <c r="D15" s="22" t="s">
        <v>30</v>
      </c>
      <c r="E15" s="22" t="s">
        <v>17</v>
      </c>
      <c r="F15" s="27">
        <v>9</v>
      </c>
      <c r="G15" s="24">
        <f t="shared" si="1"/>
        <v>1</v>
      </c>
      <c r="H15" s="21" t="s">
        <v>20</v>
      </c>
      <c r="I15" s="22"/>
      <c r="J15" s="136"/>
      <c r="K15" s="129"/>
    </row>
    <row r="16" spans="1:11" x14ac:dyDescent="0.35">
      <c r="A16" s="149"/>
      <c r="B16" s="151"/>
      <c r="C16" s="26" t="s">
        <v>387</v>
      </c>
      <c r="D16" s="23" t="s">
        <v>32</v>
      </c>
      <c r="E16" s="31" t="s">
        <v>17</v>
      </c>
      <c r="F16" s="24">
        <v>18</v>
      </c>
      <c r="G16" s="24">
        <f t="shared" si="1"/>
        <v>2</v>
      </c>
      <c r="H16" s="32" t="s">
        <v>20</v>
      </c>
      <c r="I16" s="22"/>
      <c r="J16" s="136"/>
      <c r="K16" s="129"/>
    </row>
    <row r="17" spans="1:11" x14ac:dyDescent="0.35">
      <c r="A17" s="149"/>
      <c r="B17" s="151"/>
      <c r="C17" s="28" t="s">
        <v>388</v>
      </c>
      <c r="D17" s="22" t="s">
        <v>33</v>
      </c>
      <c r="E17" s="22" t="s">
        <v>17</v>
      </c>
      <c r="F17" s="27">
        <v>9</v>
      </c>
      <c r="G17" s="24">
        <f t="shared" si="1"/>
        <v>1</v>
      </c>
      <c r="H17" s="32" t="s">
        <v>20</v>
      </c>
      <c r="I17" s="22"/>
      <c r="J17" s="136"/>
      <c r="K17" s="129"/>
    </row>
    <row r="18" spans="1:11" x14ac:dyDescent="0.35">
      <c r="A18" s="149"/>
      <c r="B18" s="30"/>
      <c r="C18" s="33" t="s">
        <v>24</v>
      </c>
      <c r="D18" s="126" t="s">
        <v>695</v>
      </c>
      <c r="E18" s="34" t="s">
        <v>25</v>
      </c>
      <c r="F18" s="29">
        <v>18</v>
      </c>
      <c r="G18" s="29">
        <f t="shared" si="1"/>
        <v>2</v>
      </c>
      <c r="H18" s="35"/>
      <c r="I18" s="34" t="s">
        <v>20</v>
      </c>
      <c r="J18" s="136"/>
      <c r="K18" s="129"/>
    </row>
    <row r="19" spans="1:11" ht="15.5" customHeight="1" x14ac:dyDescent="0.35">
      <c r="A19" s="149"/>
      <c r="B19" s="150" t="s">
        <v>26</v>
      </c>
      <c r="C19" s="36" t="s">
        <v>28</v>
      </c>
      <c r="D19" s="36" t="s">
        <v>394</v>
      </c>
      <c r="E19" s="37" t="s">
        <v>17</v>
      </c>
      <c r="F19" s="38">
        <v>54</v>
      </c>
      <c r="G19" s="38">
        <f t="shared" si="1"/>
        <v>6</v>
      </c>
      <c r="H19" s="39" t="s">
        <v>20</v>
      </c>
      <c r="I19" s="37"/>
      <c r="J19" s="133">
        <f>SUM(F19:F21)</f>
        <v>86</v>
      </c>
      <c r="K19" s="130">
        <f>ROUND(J19/45,2)</f>
        <v>1.91</v>
      </c>
    </row>
    <row r="20" spans="1:11" ht="33.5" customHeight="1" x14ac:dyDescent="0.35">
      <c r="A20" s="149"/>
      <c r="B20" s="151"/>
      <c r="C20" s="36" t="s">
        <v>35</v>
      </c>
      <c r="D20" s="28" t="s">
        <v>36</v>
      </c>
      <c r="E20" s="22" t="s">
        <v>17</v>
      </c>
      <c r="F20" s="27">
        <v>14</v>
      </c>
      <c r="G20" s="38">
        <f t="shared" si="1"/>
        <v>1.56</v>
      </c>
      <c r="H20" s="39" t="s">
        <v>20</v>
      </c>
      <c r="I20" s="37"/>
      <c r="J20" s="134"/>
      <c r="K20" s="131"/>
    </row>
    <row r="21" spans="1:11" ht="33.5" customHeight="1" x14ac:dyDescent="0.35">
      <c r="A21" s="149"/>
      <c r="B21" s="152"/>
      <c r="C21" s="70" t="s">
        <v>396</v>
      </c>
      <c r="D21" s="71" t="s">
        <v>397</v>
      </c>
      <c r="E21" s="68" t="s">
        <v>17</v>
      </c>
      <c r="F21" s="69">
        <v>18</v>
      </c>
      <c r="G21" s="38">
        <f t="shared" si="1"/>
        <v>2</v>
      </c>
      <c r="H21" s="39" t="s">
        <v>20</v>
      </c>
      <c r="I21" s="37"/>
      <c r="J21" s="135"/>
      <c r="K21" s="132"/>
    </row>
    <row r="22" spans="1:11" x14ac:dyDescent="0.35">
      <c r="A22" s="149" t="s">
        <v>72</v>
      </c>
      <c r="B22" s="150" t="s">
        <v>31</v>
      </c>
      <c r="C22" s="28" t="s">
        <v>389</v>
      </c>
      <c r="D22" s="22" t="s">
        <v>390</v>
      </c>
      <c r="E22" s="22" t="s">
        <v>17</v>
      </c>
      <c r="F22" s="24">
        <v>9</v>
      </c>
      <c r="G22" s="24">
        <f t="shared" si="1"/>
        <v>1</v>
      </c>
      <c r="H22" s="32" t="s">
        <v>20</v>
      </c>
      <c r="I22" s="22"/>
      <c r="J22" s="133">
        <f>SUM(F22:F26)</f>
        <v>113</v>
      </c>
      <c r="K22" s="129">
        <f>ROUND(J22/45,2)</f>
        <v>2.5099999999999998</v>
      </c>
    </row>
    <row r="23" spans="1:11" x14ac:dyDescent="0.35">
      <c r="A23" s="149"/>
      <c r="B23" s="151"/>
      <c r="C23" s="28" t="s">
        <v>376</v>
      </c>
      <c r="D23" s="22" t="s">
        <v>399</v>
      </c>
      <c r="E23" s="22" t="s">
        <v>17</v>
      </c>
      <c r="F23" s="24">
        <v>9</v>
      </c>
      <c r="G23" s="24">
        <f t="shared" si="1"/>
        <v>1</v>
      </c>
      <c r="H23" s="32" t="s">
        <v>20</v>
      </c>
      <c r="I23" s="22"/>
      <c r="J23" s="134"/>
      <c r="K23" s="129"/>
    </row>
    <row r="24" spans="1:11" x14ac:dyDescent="0.35">
      <c r="A24" s="149"/>
      <c r="B24" s="151"/>
      <c r="C24" s="28" t="s">
        <v>391</v>
      </c>
      <c r="D24" s="22" t="s">
        <v>392</v>
      </c>
      <c r="E24" s="22" t="s">
        <v>17</v>
      </c>
      <c r="F24" s="24">
        <v>9</v>
      </c>
      <c r="G24" s="24">
        <f t="shared" si="1"/>
        <v>1</v>
      </c>
      <c r="H24" s="32" t="s">
        <v>20</v>
      </c>
      <c r="I24" s="22"/>
      <c r="J24" s="134"/>
      <c r="K24" s="129"/>
    </row>
    <row r="25" spans="1:11" x14ac:dyDescent="0.35">
      <c r="A25" s="149"/>
      <c r="B25" s="151"/>
      <c r="C25" s="28" t="s">
        <v>393</v>
      </c>
      <c r="D25" s="22" t="s">
        <v>432</v>
      </c>
      <c r="E25" s="22" t="s">
        <v>17</v>
      </c>
      <c r="F25" s="24">
        <v>81</v>
      </c>
      <c r="G25" s="24">
        <f t="shared" si="1"/>
        <v>9</v>
      </c>
      <c r="H25" s="32" t="s">
        <v>20</v>
      </c>
      <c r="I25" s="22"/>
      <c r="J25" s="134"/>
      <c r="K25" s="129"/>
    </row>
    <row r="26" spans="1:11" x14ac:dyDescent="0.35">
      <c r="A26" s="149"/>
      <c r="B26" s="152"/>
      <c r="C26" s="28" t="s">
        <v>386</v>
      </c>
      <c r="D26" s="22" t="s">
        <v>21</v>
      </c>
      <c r="E26" s="22" t="s">
        <v>29</v>
      </c>
      <c r="F26" s="24">
        <v>5</v>
      </c>
      <c r="G26" s="24">
        <f t="shared" si="1"/>
        <v>0.56000000000000005</v>
      </c>
      <c r="H26" s="32" t="s">
        <v>20</v>
      </c>
      <c r="I26" s="22"/>
      <c r="J26" s="135"/>
      <c r="K26" s="129"/>
    </row>
    <row r="27" spans="1:11" x14ac:dyDescent="0.35">
      <c r="A27" s="149"/>
      <c r="B27" s="137" t="s">
        <v>34</v>
      </c>
      <c r="C27" s="28" t="s">
        <v>37</v>
      </c>
      <c r="D27" s="40" t="s">
        <v>38</v>
      </c>
      <c r="E27" s="22" t="s">
        <v>17</v>
      </c>
      <c r="F27" s="27">
        <v>45</v>
      </c>
      <c r="G27" s="24">
        <f t="shared" si="1"/>
        <v>5</v>
      </c>
      <c r="H27" s="32" t="s">
        <v>20</v>
      </c>
      <c r="I27" s="22"/>
      <c r="J27" s="133">
        <f>SUM(F27:F29)</f>
        <v>81</v>
      </c>
      <c r="K27" s="129">
        <f>ROUND(J27/45,2)</f>
        <v>1.8</v>
      </c>
    </row>
    <row r="28" spans="1:11" ht="42" customHeight="1" x14ac:dyDescent="0.35">
      <c r="A28" s="149"/>
      <c r="B28" s="137"/>
      <c r="C28" s="32" t="s">
        <v>398</v>
      </c>
      <c r="D28" s="32" t="s">
        <v>395</v>
      </c>
      <c r="E28" s="32" t="s">
        <v>17</v>
      </c>
      <c r="F28" s="21">
        <v>9</v>
      </c>
      <c r="G28" s="24">
        <f t="shared" si="1"/>
        <v>1</v>
      </c>
      <c r="H28" s="22" t="s">
        <v>20</v>
      </c>
      <c r="I28" s="22"/>
      <c r="J28" s="134"/>
      <c r="K28" s="129"/>
    </row>
    <row r="29" spans="1:11" x14ac:dyDescent="0.35">
      <c r="A29" s="149"/>
      <c r="B29" s="137"/>
      <c r="C29" s="87" t="s">
        <v>24</v>
      </c>
      <c r="D29" s="88" t="s">
        <v>696</v>
      </c>
      <c r="E29" s="89" t="s">
        <v>25</v>
      </c>
      <c r="F29" s="90">
        <v>27</v>
      </c>
      <c r="G29" s="90">
        <f t="shared" si="1"/>
        <v>3</v>
      </c>
      <c r="H29" s="89"/>
      <c r="I29" s="89" t="s">
        <v>20</v>
      </c>
      <c r="J29" s="135"/>
      <c r="K29" s="129"/>
    </row>
    <row r="30" spans="1:11" ht="14.5" customHeight="1" x14ac:dyDescent="0.35">
      <c r="A30" s="138" t="s">
        <v>53</v>
      </c>
      <c r="B30" s="137" t="s">
        <v>693</v>
      </c>
      <c r="C30" s="91" t="s">
        <v>39</v>
      </c>
      <c r="D30" s="92" t="s">
        <v>40</v>
      </c>
      <c r="E30" s="93" t="s">
        <v>41</v>
      </c>
      <c r="F30" s="94">
        <v>9</v>
      </c>
      <c r="G30" s="94">
        <f t="shared" si="1"/>
        <v>1</v>
      </c>
      <c r="H30" s="93"/>
      <c r="I30" s="93" t="s">
        <v>20</v>
      </c>
      <c r="J30" s="95">
        <f>F30</f>
        <v>9</v>
      </c>
      <c r="K30" s="41">
        <f>ROUND(J30/45,2)</f>
        <v>0.2</v>
      </c>
    </row>
    <row r="31" spans="1:11" ht="14" customHeight="1" x14ac:dyDescent="0.35">
      <c r="A31" s="139"/>
      <c r="B31" s="137"/>
      <c r="C31" s="98" t="s">
        <v>42</v>
      </c>
      <c r="D31" s="22" t="s">
        <v>43</v>
      </c>
      <c r="E31" s="22" t="s">
        <v>17</v>
      </c>
      <c r="F31" s="27">
        <v>40</v>
      </c>
      <c r="G31" s="27">
        <f t="shared" ref="G31:G33" si="2">ROUND(F31/9,2)</f>
        <v>4.4400000000000004</v>
      </c>
      <c r="H31" s="22" t="s">
        <v>20</v>
      </c>
      <c r="I31" s="22"/>
      <c r="J31" s="96">
        <f>F31</f>
        <v>40</v>
      </c>
      <c r="K31" s="42">
        <f>ROUND(J31/45,2)</f>
        <v>0.89</v>
      </c>
    </row>
    <row r="32" spans="1:11" x14ac:dyDescent="0.35">
      <c r="A32" s="139"/>
      <c r="B32" s="137"/>
      <c r="C32" s="98" t="s">
        <v>50</v>
      </c>
      <c r="D32" s="22" t="s">
        <v>51</v>
      </c>
      <c r="E32" s="22" t="s">
        <v>44</v>
      </c>
      <c r="F32" s="27">
        <v>12</v>
      </c>
      <c r="G32" s="27">
        <f t="shared" si="2"/>
        <v>1.33</v>
      </c>
      <c r="H32" s="22" t="s">
        <v>18</v>
      </c>
      <c r="I32" s="22"/>
      <c r="J32" s="97">
        <f>F32</f>
        <v>12</v>
      </c>
      <c r="K32" s="42">
        <f>ROUND(J32/45,2)</f>
        <v>0.27</v>
      </c>
    </row>
    <row r="33" spans="1:11" x14ac:dyDescent="0.35">
      <c r="A33" s="139"/>
      <c r="B33" s="137"/>
      <c r="C33" s="98" t="s">
        <v>679</v>
      </c>
      <c r="D33" s="22" t="s">
        <v>679</v>
      </c>
      <c r="E33" s="22" t="s">
        <v>44</v>
      </c>
      <c r="F33" s="27">
        <v>2</v>
      </c>
      <c r="G33" s="27">
        <f t="shared" si="2"/>
        <v>0.22</v>
      </c>
      <c r="H33" s="22"/>
      <c r="I33" s="22"/>
      <c r="J33" s="97">
        <f>F33</f>
        <v>2</v>
      </c>
      <c r="K33" s="42">
        <f>ROUND(J33/45,2)</f>
        <v>0.04</v>
      </c>
    </row>
    <row r="34" spans="1:11" ht="14.5" customHeight="1" x14ac:dyDescent="0.35">
      <c r="A34" s="139"/>
      <c r="B34" s="137"/>
      <c r="C34" s="143" t="s">
        <v>694</v>
      </c>
      <c r="D34" s="144"/>
      <c r="E34" s="144"/>
      <c r="F34" s="144"/>
      <c r="G34" s="144"/>
      <c r="H34" s="144"/>
      <c r="I34" s="145"/>
      <c r="J34" s="43">
        <f>SUM(J2:J33)</f>
        <v>641</v>
      </c>
      <c r="K34" s="44">
        <f>SUM(K2:K33)</f>
        <v>14.24</v>
      </c>
    </row>
    <row r="35" spans="1:11" x14ac:dyDescent="0.35">
      <c r="A35" s="139"/>
      <c r="B35" s="137"/>
      <c r="C35" s="46" t="s">
        <v>52</v>
      </c>
      <c r="D35" s="45"/>
      <c r="E35" s="45"/>
      <c r="F35" s="45"/>
      <c r="G35" s="45"/>
      <c r="H35" s="45"/>
      <c r="I35" s="45"/>
      <c r="J35" s="45"/>
      <c r="K35" s="47"/>
    </row>
    <row r="36" spans="1:11" ht="28" x14ac:dyDescent="0.35">
      <c r="A36" s="139"/>
      <c r="B36" s="137"/>
      <c r="C36" s="141" t="s">
        <v>54</v>
      </c>
      <c r="D36" s="23" t="s">
        <v>55</v>
      </c>
      <c r="E36" s="49" t="s">
        <v>47</v>
      </c>
      <c r="F36" s="50"/>
      <c r="G36" s="51"/>
      <c r="H36" s="50"/>
      <c r="I36" s="26"/>
      <c r="J36" s="50"/>
      <c r="K36" s="50"/>
    </row>
    <row r="37" spans="1:11" ht="28" x14ac:dyDescent="0.35">
      <c r="A37" s="140"/>
      <c r="B37" s="137"/>
      <c r="C37" s="142"/>
      <c r="D37" s="22" t="s">
        <v>56</v>
      </c>
      <c r="E37" s="53" t="s">
        <v>47</v>
      </c>
      <c r="F37" s="54"/>
      <c r="G37" s="55"/>
      <c r="H37" s="54"/>
      <c r="I37" s="28"/>
      <c r="J37" s="54"/>
      <c r="K37" s="54"/>
    </row>
  </sheetData>
  <autoFilter ref="B1:K1" xr:uid="{FCFC5543-DC60-403B-AED9-739254EE574D}"/>
  <mergeCells count="28">
    <mergeCell ref="B30:B37"/>
    <mergeCell ref="A30:A37"/>
    <mergeCell ref="C36:C37"/>
    <mergeCell ref="C34:I34"/>
    <mergeCell ref="A2:A5"/>
    <mergeCell ref="A6:A13"/>
    <mergeCell ref="A14:A21"/>
    <mergeCell ref="A22:A29"/>
    <mergeCell ref="B27:B29"/>
    <mergeCell ref="B22:B26"/>
    <mergeCell ref="B6:B13"/>
    <mergeCell ref="B14:B17"/>
    <mergeCell ref="B2:B5"/>
    <mergeCell ref="B19:B21"/>
    <mergeCell ref="F2:F4"/>
    <mergeCell ref="E2:E4"/>
    <mergeCell ref="K2:K5"/>
    <mergeCell ref="K14:K18"/>
    <mergeCell ref="K19:K21"/>
    <mergeCell ref="K22:K26"/>
    <mergeCell ref="J27:J29"/>
    <mergeCell ref="K27:K29"/>
    <mergeCell ref="K6:K13"/>
    <mergeCell ref="J14:J18"/>
    <mergeCell ref="J6:J13"/>
    <mergeCell ref="J2:J5"/>
    <mergeCell ref="J22:J26"/>
    <mergeCell ref="J19:J2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B6ACD-8A3D-4BDF-9BCC-CD8B5B6366FE}">
  <sheetPr>
    <tabColor rgb="FFFF0000"/>
  </sheetPr>
  <dimension ref="A1:H6"/>
  <sheetViews>
    <sheetView showGridLines="0" workbookViewId="0">
      <pane ySplit="1" topLeftCell="A3" activePane="bottomLeft" state="frozen"/>
      <selection pane="bottomLeft" activeCell="D5" sqref="D5"/>
    </sheetView>
  </sheetViews>
  <sheetFormatPr defaultRowHeight="14" x14ac:dyDescent="0.35"/>
  <cols>
    <col min="1" max="1" width="9.54296875" style="21" bestFit="1" customWidth="1"/>
    <col min="2" max="2" width="34" style="21" customWidth="1"/>
    <col min="3" max="3" width="17.1796875" style="21" bestFit="1" customWidth="1"/>
    <col min="4" max="4" width="38" style="21" bestFit="1" customWidth="1"/>
    <col min="5" max="5" width="22.7265625" style="21" bestFit="1" customWidth="1"/>
    <col min="6" max="6" width="32.26953125" style="21" customWidth="1"/>
    <col min="7" max="7" width="35.7265625" style="21" customWidth="1"/>
    <col min="8" max="8" width="26.54296875" style="21" bestFit="1" customWidth="1"/>
    <col min="9" max="16384" width="8.7265625" style="21"/>
  </cols>
  <sheetData>
    <row r="1" spans="1:8" s="58" customFormat="1" ht="15.5" x14ac:dyDescent="0.35">
      <c r="A1" s="56" t="s">
        <v>57</v>
      </c>
      <c r="B1" s="56" t="s">
        <v>58</v>
      </c>
      <c r="C1" s="56" t="s">
        <v>59</v>
      </c>
      <c r="D1" s="57" t="s">
        <v>60</v>
      </c>
      <c r="E1" s="57" t="s">
        <v>61</v>
      </c>
      <c r="F1" s="57" t="s">
        <v>62</v>
      </c>
      <c r="G1" s="57" t="s">
        <v>63</v>
      </c>
      <c r="H1" s="57" t="s">
        <v>64</v>
      </c>
    </row>
    <row r="2" spans="1:8" ht="98" x14ac:dyDescent="0.35">
      <c r="A2" s="59" t="s">
        <v>669</v>
      </c>
      <c r="B2" s="60" t="s">
        <v>671</v>
      </c>
      <c r="C2" s="61" t="s">
        <v>668</v>
      </c>
      <c r="D2" s="60" t="s">
        <v>664</v>
      </c>
      <c r="E2" s="60" t="s">
        <v>665</v>
      </c>
      <c r="F2" s="60" t="s">
        <v>666</v>
      </c>
      <c r="G2" s="60" t="s">
        <v>670</v>
      </c>
      <c r="H2" s="60" t="s">
        <v>667</v>
      </c>
    </row>
    <row r="3" spans="1:8" ht="84" x14ac:dyDescent="0.35">
      <c r="A3" s="59" t="s">
        <v>400</v>
      </c>
      <c r="B3" s="60" t="s">
        <v>401</v>
      </c>
      <c r="C3" s="61" t="s">
        <v>420</v>
      </c>
      <c r="D3" s="60" t="s">
        <v>419</v>
      </c>
      <c r="E3" s="60" t="s">
        <v>402</v>
      </c>
      <c r="F3" s="60" t="s">
        <v>403</v>
      </c>
      <c r="G3" s="60" t="s">
        <v>404</v>
      </c>
      <c r="H3" s="60" t="s">
        <v>405</v>
      </c>
    </row>
    <row r="4" spans="1:8" ht="84" x14ac:dyDescent="0.35">
      <c r="A4" s="59" t="s">
        <v>409</v>
      </c>
      <c r="B4" s="60" t="s">
        <v>406</v>
      </c>
      <c r="C4" s="61" t="s">
        <v>421</v>
      </c>
      <c r="D4" s="60" t="s">
        <v>422</v>
      </c>
      <c r="E4" s="60" t="s">
        <v>407</v>
      </c>
      <c r="F4" s="60" t="s">
        <v>647</v>
      </c>
      <c r="G4" s="60" t="s">
        <v>410</v>
      </c>
      <c r="H4" s="60" t="s">
        <v>408</v>
      </c>
    </row>
    <row r="5" spans="1:8" ht="84" x14ac:dyDescent="0.35">
      <c r="A5" s="62" t="s">
        <v>412</v>
      </c>
      <c r="B5" s="60" t="s">
        <v>411</v>
      </c>
      <c r="C5" s="60" t="s">
        <v>680</v>
      </c>
      <c r="D5" s="60" t="s">
        <v>479</v>
      </c>
      <c r="E5" s="60" t="s">
        <v>413</v>
      </c>
      <c r="F5" s="60" t="s">
        <v>414</v>
      </c>
      <c r="G5" s="60" t="s">
        <v>416</v>
      </c>
      <c r="H5" s="60" t="s">
        <v>415</v>
      </c>
    </row>
    <row r="6" spans="1:8" ht="84" x14ac:dyDescent="0.35">
      <c r="A6" s="63" t="s">
        <v>418</v>
      </c>
      <c r="B6" s="60" t="s">
        <v>417</v>
      </c>
      <c r="C6" s="60" t="s">
        <v>423</v>
      </c>
      <c r="D6" s="60" t="s">
        <v>428</v>
      </c>
      <c r="E6" s="60" t="s">
        <v>424</v>
      </c>
      <c r="F6" s="60" t="s">
        <v>425</v>
      </c>
      <c r="G6" s="60" t="s">
        <v>427</v>
      </c>
      <c r="H6" s="60" t="s">
        <v>426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
  <sheetViews>
    <sheetView workbookViewId="0">
      <selection activeCell="J14" sqref="J14"/>
    </sheetView>
  </sheetViews>
  <sheetFormatPr defaultRowHeight="14.5" x14ac:dyDescent="0.35"/>
  <cols>
    <col min="1" max="1" width="17.81640625" bestFit="1" customWidth="1"/>
    <col min="2" max="2" width="22.81640625" customWidth="1"/>
    <col min="3" max="3" width="12.26953125" bestFit="1" customWidth="1"/>
    <col min="4" max="4" width="15.7265625" bestFit="1" customWidth="1"/>
    <col min="5" max="5" width="27.54296875" bestFit="1" customWidth="1"/>
    <col min="6" max="6" width="13.453125" bestFit="1" customWidth="1"/>
    <col min="7" max="7" width="17" bestFit="1" customWidth="1"/>
  </cols>
  <sheetData>
    <row r="1" spans="1:7" x14ac:dyDescent="0.35">
      <c r="A1" s="5" t="s">
        <v>66</v>
      </c>
      <c r="B1" s="5" t="s">
        <v>67</v>
      </c>
      <c r="C1" s="5" t="s">
        <v>68</v>
      </c>
      <c r="D1" s="5" t="s">
        <v>69</v>
      </c>
      <c r="E1" s="5" t="s">
        <v>70</v>
      </c>
      <c r="F1" s="6" t="s">
        <v>71</v>
      </c>
      <c r="G1" s="6" t="s">
        <v>72</v>
      </c>
    </row>
    <row r="2" spans="1:7" x14ac:dyDescent="0.35">
      <c r="A2" s="160" t="s">
        <v>73</v>
      </c>
      <c r="B2" s="7" t="s">
        <v>73</v>
      </c>
      <c r="C2" s="7" t="s">
        <v>74</v>
      </c>
      <c r="D2" s="8" t="s">
        <v>75</v>
      </c>
      <c r="E2" s="8"/>
      <c r="F2" s="8"/>
      <c r="G2" s="8"/>
    </row>
    <row r="3" spans="1:7" x14ac:dyDescent="0.35">
      <c r="A3" s="162"/>
      <c r="B3" s="160" t="s">
        <v>76</v>
      </c>
      <c r="C3" s="7" t="s">
        <v>74</v>
      </c>
      <c r="D3" s="8" t="s">
        <v>77</v>
      </c>
      <c r="E3" s="8"/>
      <c r="F3" s="8"/>
      <c r="G3" s="8"/>
    </row>
    <row r="4" spans="1:7" x14ac:dyDescent="0.35">
      <c r="A4" s="161"/>
      <c r="B4" s="161"/>
      <c r="C4" s="7" t="s">
        <v>74</v>
      </c>
      <c r="D4" s="8" t="s">
        <v>78</v>
      </c>
      <c r="E4" s="8"/>
      <c r="F4" s="8"/>
      <c r="G4" s="8"/>
    </row>
    <row r="5" spans="1:7" x14ac:dyDescent="0.35">
      <c r="A5" s="160" t="s">
        <v>79</v>
      </c>
      <c r="B5" s="160" t="s">
        <v>80</v>
      </c>
      <c r="C5" s="160" t="s">
        <v>74</v>
      </c>
      <c r="D5" s="8" t="s">
        <v>81</v>
      </c>
      <c r="E5" s="8"/>
      <c r="F5" s="8"/>
      <c r="G5" s="8"/>
    </row>
    <row r="6" spans="1:7" x14ac:dyDescent="0.35">
      <c r="A6" s="162"/>
      <c r="B6" s="161"/>
      <c r="C6" s="161"/>
      <c r="D6" s="8" t="s">
        <v>82</v>
      </c>
      <c r="E6" s="8"/>
      <c r="F6" s="8"/>
      <c r="G6" s="8"/>
    </row>
    <row r="7" spans="1:7" x14ac:dyDescent="0.35">
      <c r="A7" s="162"/>
      <c r="B7" s="7" t="s">
        <v>83</v>
      </c>
      <c r="C7" s="7" t="s">
        <v>74</v>
      </c>
      <c r="D7" s="8" t="s">
        <v>84</v>
      </c>
      <c r="E7" s="8"/>
      <c r="F7" s="8"/>
      <c r="G7" s="8"/>
    </row>
    <row r="8" spans="1:7" x14ac:dyDescent="0.35">
      <c r="A8" s="161"/>
      <c r="B8" s="9" t="s">
        <v>85</v>
      </c>
      <c r="C8" s="9" t="s">
        <v>74</v>
      </c>
      <c r="D8" s="8"/>
      <c r="E8" s="8"/>
      <c r="F8" s="8"/>
      <c r="G8" s="8" t="s">
        <v>86</v>
      </c>
    </row>
    <row r="9" spans="1:7" x14ac:dyDescent="0.35">
      <c r="A9" s="160" t="s">
        <v>87</v>
      </c>
      <c r="B9" s="9" t="s">
        <v>88</v>
      </c>
      <c r="C9" s="9" t="s">
        <v>74</v>
      </c>
      <c r="D9" s="8"/>
      <c r="E9" s="8"/>
      <c r="F9" s="8" t="s">
        <v>89</v>
      </c>
      <c r="G9" s="8"/>
    </row>
    <row r="10" spans="1:7" x14ac:dyDescent="0.35">
      <c r="A10" s="162"/>
      <c r="B10" s="7" t="s">
        <v>90</v>
      </c>
      <c r="C10" s="7" t="s">
        <v>74</v>
      </c>
      <c r="D10" s="8" t="s">
        <v>91</v>
      </c>
      <c r="E10" s="8" t="s">
        <v>92</v>
      </c>
      <c r="F10" s="8"/>
      <c r="G10" s="8"/>
    </row>
    <row r="11" spans="1:7" ht="29" x14ac:dyDescent="0.35">
      <c r="A11" s="161"/>
      <c r="B11" s="7" t="s">
        <v>93</v>
      </c>
      <c r="C11" s="7" t="s">
        <v>74</v>
      </c>
      <c r="D11" s="8"/>
      <c r="E11" s="8"/>
      <c r="F11" s="10" t="s">
        <v>94</v>
      </c>
      <c r="G11" s="8"/>
    </row>
    <row r="12" spans="1:7" x14ac:dyDescent="0.35">
      <c r="A12" s="160" t="s">
        <v>95</v>
      </c>
      <c r="B12" s="9" t="s">
        <v>96</v>
      </c>
      <c r="C12" s="9" t="s">
        <v>74</v>
      </c>
      <c r="D12" s="8" t="s">
        <v>97</v>
      </c>
      <c r="E12" s="8"/>
      <c r="F12" s="8"/>
      <c r="G12" s="8"/>
    </row>
    <row r="13" spans="1:7" x14ac:dyDescent="0.35">
      <c r="A13" s="161"/>
      <c r="B13" s="7" t="s">
        <v>98</v>
      </c>
      <c r="C13" s="7" t="s">
        <v>74</v>
      </c>
      <c r="D13" s="8"/>
      <c r="E13" s="8" t="s">
        <v>99</v>
      </c>
      <c r="F13" s="8"/>
      <c r="G13" s="8"/>
    </row>
    <row r="14" spans="1:7" x14ac:dyDescent="0.35">
      <c r="A14" s="160" t="s">
        <v>100</v>
      </c>
      <c r="B14" s="160" t="s">
        <v>101</v>
      </c>
      <c r="C14" s="160" t="s">
        <v>74</v>
      </c>
      <c r="D14" s="8" t="s">
        <v>102</v>
      </c>
      <c r="E14" s="8"/>
      <c r="F14" s="8"/>
      <c r="G14" s="10" t="s">
        <v>103</v>
      </c>
    </row>
    <row r="15" spans="1:7" ht="43.5" x14ac:dyDescent="0.35">
      <c r="A15" s="162"/>
      <c r="B15" s="161"/>
      <c r="C15" s="161"/>
      <c r="D15" s="8"/>
      <c r="E15" s="8"/>
      <c r="F15" s="10" t="s">
        <v>104</v>
      </c>
      <c r="G15" s="8"/>
    </row>
    <row r="16" spans="1:7" x14ac:dyDescent="0.35">
      <c r="A16" s="162"/>
      <c r="B16" s="7" t="s">
        <v>105</v>
      </c>
      <c r="C16" s="7" t="s">
        <v>74</v>
      </c>
      <c r="D16" s="163" t="s">
        <v>106</v>
      </c>
      <c r="E16" s="163"/>
      <c r="F16" s="163"/>
      <c r="G16" s="163"/>
    </row>
    <row r="17" spans="1:7" x14ac:dyDescent="0.35">
      <c r="A17" s="162"/>
      <c r="B17" s="9" t="s">
        <v>107</v>
      </c>
      <c r="C17" s="9" t="s">
        <v>74</v>
      </c>
      <c r="D17" s="8"/>
      <c r="E17" s="8" t="s">
        <v>32</v>
      </c>
      <c r="F17" s="8"/>
      <c r="G17" s="8"/>
    </row>
    <row r="18" spans="1:7" x14ac:dyDescent="0.35">
      <c r="A18" s="161"/>
      <c r="B18" s="7" t="s">
        <v>108</v>
      </c>
      <c r="C18" s="7" t="s">
        <v>74</v>
      </c>
      <c r="D18" s="8"/>
      <c r="E18" s="8" t="s">
        <v>109</v>
      </c>
      <c r="F18" s="8"/>
      <c r="G18" s="8"/>
    </row>
    <row r="19" spans="1:7" x14ac:dyDescent="0.35">
      <c r="A19" s="160" t="s">
        <v>110</v>
      </c>
      <c r="B19" s="11" t="s">
        <v>111</v>
      </c>
      <c r="C19" s="160" t="s">
        <v>74</v>
      </c>
      <c r="D19" s="8"/>
      <c r="E19" s="8" t="s">
        <v>112</v>
      </c>
      <c r="F19" s="8"/>
      <c r="G19" s="8"/>
    </row>
    <row r="20" spans="1:7" ht="29" x14ac:dyDescent="0.35">
      <c r="A20" s="161"/>
      <c r="B20" s="12" t="s">
        <v>113</v>
      </c>
      <c r="C20" s="161"/>
      <c r="D20" s="8"/>
      <c r="E20" s="10" t="s">
        <v>114</v>
      </c>
      <c r="F20" s="8"/>
      <c r="G20" s="8"/>
    </row>
    <row r="21" spans="1:7" x14ac:dyDescent="0.35">
      <c r="A21" s="159" t="s">
        <v>115</v>
      </c>
      <c r="B21" s="11" t="s">
        <v>116</v>
      </c>
      <c r="C21" s="7" t="s">
        <v>74</v>
      </c>
      <c r="D21" s="8"/>
      <c r="E21" s="8"/>
      <c r="F21" s="8"/>
      <c r="G21" s="8" t="s">
        <v>117</v>
      </c>
    </row>
    <row r="22" spans="1:7" x14ac:dyDescent="0.35">
      <c r="A22" s="159"/>
      <c r="B22" s="11" t="s">
        <v>35</v>
      </c>
      <c r="C22" s="7" t="s">
        <v>74</v>
      </c>
      <c r="D22" s="8"/>
      <c r="E22" s="8"/>
      <c r="F22" s="8"/>
      <c r="G22" s="8" t="s">
        <v>118</v>
      </c>
    </row>
  </sheetData>
  <mergeCells count="14">
    <mergeCell ref="D16:G16"/>
    <mergeCell ref="A19:A20"/>
    <mergeCell ref="C19:C20"/>
    <mergeCell ref="A2:A4"/>
    <mergeCell ref="B3:B4"/>
    <mergeCell ref="A5:A8"/>
    <mergeCell ref="B5:B6"/>
    <mergeCell ref="C5:C6"/>
    <mergeCell ref="A9:A11"/>
    <mergeCell ref="A21:A22"/>
    <mergeCell ref="A12:A13"/>
    <mergeCell ref="A14:A18"/>
    <mergeCell ref="B14:B15"/>
    <mergeCell ref="C14:C15"/>
  </mergeCells>
  <pageMargins left="0.7" right="0.7" top="0.75" bottom="0.75" header="0.3" footer="0.3"/>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B7"/>
  <sheetViews>
    <sheetView showGridLines="0" workbookViewId="0">
      <pane ySplit="1" topLeftCell="A2" activePane="bottomLeft" state="frozen"/>
      <selection pane="bottomLeft" activeCell="D2" sqref="D2"/>
    </sheetView>
  </sheetViews>
  <sheetFormatPr defaultRowHeight="14" x14ac:dyDescent="0.3"/>
  <cols>
    <col min="1" max="1" width="20.7265625" style="64" customWidth="1"/>
    <col min="2" max="2" width="100.7265625" style="64" customWidth="1"/>
    <col min="3" max="16384" width="8.7265625" style="64"/>
  </cols>
  <sheetData>
    <row r="1" spans="1:2" s="67" customFormat="1" x14ac:dyDescent="0.35">
      <c r="A1" s="66" t="s">
        <v>119</v>
      </c>
      <c r="B1" s="66" t="s">
        <v>120</v>
      </c>
    </row>
    <row r="2" spans="1:2" s="67" customFormat="1" ht="126" x14ac:dyDescent="0.35">
      <c r="A2" s="48" t="s">
        <v>681</v>
      </c>
      <c r="B2" s="26" t="s">
        <v>677</v>
      </c>
    </row>
    <row r="3" spans="1:2" ht="280" x14ac:dyDescent="0.3">
      <c r="A3" s="48" t="s">
        <v>382</v>
      </c>
      <c r="B3" s="26" t="s">
        <v>678</v>
      </c>
    </row>
    <row r="4" spans="1:2" ht="152" customHeight="1" x14ac:dyDescent="0.3">
      <c r="A4" s="48" t="s">
        <v>22</v>
      </c>
      <c r="B4" s="26" t="s">
        <v>429</v>
      </c>
    </row>
    <row r="5" spans="1:2" ht="56" x14ac:dyDescent="0.3">
      <c r="A5" s="52" t="s">
        <v>26</v>
      </c>
      <c r="B5" s="28" t="s">
        <v>430</v>
      </c>
    </row>
    <row r="6" spans="1:2" ht="70" x14ac:dyDescent="0.3">
      <c r="A6" s="52" t="s">
        <v>31</v>
      </c>
      <c r="B6" s="65" t="s">
        <v>662</v>
      </c>
    </row>
    <row r="7" spans="1:2" ht="154" x14ac:dyDescent="0.3">
      <c r="A7" s="52" t="s">
        <v>34</v>
      </c>
      <c r="B7" s="63" t="s">
        <v>431</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BFED7-49F4-4CE7-90A1-9CBF5EF81822}">
  <sheetPr>
    <tabColor rgb="FFC00000"/>
  </sheetPr>
  <dimension ref="A1:C61"/>
  <sheetViews>
    <sheetView showGridLines="0" workbookViewId="0">
      <pane ySplit="1" topLeftCell="A16" activePane="bottomLeft" state="frozen"/>
      <selection pane="bottomLeft" activeCell="F6" sqref="F6"/>
    </sheetView>
  </sheetViews>
  <sheetFormatPr defaultColWidth="9.1796875" defaultRowHeight="14" x14ac:dyDescent="0.35"/>
  <cols>
    <col min="1" max="1" width="20.7265625" style="21" customWidth="1"/>
    <col min="2" max="2" width="30.7265625" style="78" customWidth="1"/>
    <col min="3" max="3" width="50.7265625" style="21" customWidth="1"/>
    <col min="4" max="16384" width="9.1796875" style="21"/>
  </cols>
  <sheetData>
    <row r="1" spans="1:3" s="67" customFormat="1" ht="20.149999999999999" customHeight="1" x14ac:dyDescent="0.35">
      <c r="A1" s="66" t="s">
        <v>9</v>
      </c>
      <c r="B1" s="66" t="s">
        <v>121</v>
      </c>
      <c r="C1" s="66" t="s">
        <v>122</v>
      </c>
    </row>
    <row r="2" spans="1:3" ht="42" x14ac:dyDescent="0.35">
      <c r="A2" s="168" t="s">
        <v>673</v>
      </c>
      <c r="B2" s="22" t="s">
        <v>279</v>
      </c>
      <c r="C2" s="22" t="s">
        <v>480</v>
      </c>
    </row>
    <row r="3" spans="1:3" ht="28" x14ac:dyDescent="0.35">
      <c r="A3" s="169"/>
      <c r="B3" s="22" t="s">
        <v>173</v>
      </c>
      <c r="C3" s="22" t="s">
        <v>481</v>
      </c>
    </row>
    <row r="4" spans="1:3" ht="42" x14ac:dyDescent="0.35">
      <c r="A4" s="169"/>
      <c r="B4" s="22" t="s">
        <v>482</v>
      </c>
      <c r="C4" s="22" t="s">
        <v>483</v>
      </c>
    </row>
    <row r="5" spans="1:3" ht="28" x14ac:dyDescent="0.35">
      <c r="A5" s="169"/>
      <c r="B5" s="22" t="s">
        <v>484</v>
      </c>
      <c r="C5" s="22" t="s">
        <v>485</v>
      </c>
    </row>
    <row r="6" spans="1:3" ht="42" x14ac:dyDescent="0.35">
      <c r="A6" s="169"/>
      <c r="B6" s="22" t="s">
        <v>486</v>
      </c>
      <c r="C6" s="22" t="s">
        <v>487</v>
      </c>
    </row>
    <row r="7" spans="1:3" ht="28" x14ac:dyDescent="0.35">
      <c r="A7" s="169"/>
      <c r="B7" s="22" t="s">
        <v>488</v>
      </c>
      <c r="C7" s="22" t="s">
        <v>489</v>
      </c>
    </row>
    <row r="8" spans="1:3" x14ac:dyDescent="0.35">
      <c r="A8" s="169"/>
      <c r="B8" s="22" t="s">
        <v>490</v>
      </c>
      <c r="C8" s="22" t="s">
        <v>491</v>
      </c>
    </row>
    <row r="9" spans="1:3" x14ac:dyDescent="0.35">
      <c r="A9" s="169"/>
      <c r="B9" s="22" t="s">
        <v>492</v>
      </c>
      <c r="C9" s="22" t="s">
        <v>493</v>
      </c>
    </row>
    <row r="10" spans="1:3" ht="28" x14ac:dyDescent="0.35">
      <c r="A10" s="169"/>
      <c r="B10" s="22" t="s">
        <v>494</v>
      </c>
      <c r="C10" s="22" t="s">
        <v>495</v>
      </c>
    </row>
    <row r="11" spans="1:3" ht="42" x14ac:dyDescent="0.35">
      <c r="A11" s="170" t="s">
        <v>672</v>
      </c>
      <c r="B11" s="22" t="s">
        <v>279</v>
      </c>
      <c r="C11" s="22" t="s">
        <v>496</v>
      </c>
    </row>
    <row r="12" spans="1:3" ht="42" x14ac:dyDescent="0.35">
      <c r="A12" s="170"/>
      <c r="B12" s="22" t="s">
        <v>497</v>
      </c>
      <c r="C12" s="22" t="s">
        <v>498</v>
      </c>
    </row>
    <row r="13" spans="1:3" ht="28" x14ac:dyDescent="0.35">
      <c r="A13" s="170"/>
      <c r="B13" s="22" t="s">
        <v>499</v>
      </c>
      <c r="C13" s="22" t="s">
        <v>500</v>
      </c>
    </row>
    <row r="14" spans="1:3" ht="28" x14ac:dyDescent="0.35">
      <c r="A14" s="170"/>
      <c r="B14" s="22" t="s">
        <v>501</v>
      </c>
      <c r="C14" s="22" t="s">
        <v>502</v>
      </c>
    </row>
    <row r="15" spans="1:3" x14ac:dyDescent="0.35">
      <c r="A15" s="170"/>
      <c r="B15" s="22" t="s">
        <v>503</v>
      </c>
      <c r="C15" s="22" t="s">
        <v>504</v>
      </c>
    </row>
    <row r="16" spans="1:3" ht="28" x14ac:dyDescent="0.35">
      <c r="A16" s="170" t="s">
        <v>674</v>
      </c>
      <c r="B16" s="28" t="s">
        <v>505</v>
      </c>
      <c r="C16" s="22" t="s">
        <v>506</v>
      </c>
    </row>
    <row r="17" spans="1:3" x14ac:dyDescent="0.35">
      <c r="A17" s="170"/>
      <c r="B17" s="28" t="s">
        <v>507</v>
      </c>
      <c r="C17" s="22" t="s">
        <v>508</v>
      </c>
    </row>
    <row r="18" spans="1:3" x14ac:dyDescent="0.35">
      <c r="A18" s="170"/>
      <c r="B18" s="28" t="s">
        <v>509</v>
      </c>
      <c r="C18" s="22" t="s">
        <v>510</v>
      </c>
    </row>
    <row r="19" spans="1:3" ht="28" x14ac:dyDescent="0.35">
      <c r="A19" s="170"/>
      <c r="B19" s="28" t="s">
        <v>511</v>
      </c>
      <c r="C19" s="22" t="s">
        <v>512</v>
      </c>
    </row>
    <row r="20" spans="1:3" ht="28" x14ac:dyDescent="0.35">
      <c r="A20" s="170"/>
      <c r="B20" s="28" t="s">
        <v>513</v>
      </c>
      <c r="C20" s="22" t="s">
        <v>514</v>
      </c>
    </row>
    <row r="21" spans="1:3" x14ac:dyDescent="0.35">
      <c r="A21" s="170"/>
      <c r="B21" s="22" t="s">
        <v>515</v>
      </c>
      <c r="C21" s="22" t="s">
        <v>516</v>
      </c>
    </row>
    <row r="22" spans="1:3" ht="28" x14ac:dyDescent="0.35">
      <c r="A22" s="170"/>
      <c r="B22" s="22" t="s">
        <v>517</v>
      </c>
      <c r="C22" s="22" t="s">
        <v>518</v>
      </c>
    </row>
    <row r="23" spans="1:3" ht="28" x14ac:dyDescent="0.35">
      <c r="A23" s="170"/>
      <c r="B23" s="22" t="s">
        <v>519</v>
      </c>
      <c r="C23" s="22" t="s">
        <v>520</v>
      </c>
    </row>
    <row r="24" spans="1:3" x14ac:dyDescent="0.35">
      <c r="A24" s="170"/>
      <c r="B24" s="22" t="s">
        <v>521</v>
      </c>
      <c r="C24" s="22" t="s">
        <v>522</v>
      </c>
    </row>
    <row r="25" spans="1:3" ht="28" x14ac:dyDescent="0.35">
      <c r="A25" s="170"/>
      <c r="B25" s="22" t="s">
        <v>523</v>
      </c>
      <c r="C25" s="22" t="s">
        <v>524</v>
      </c>
    </row>
    <row r="26" spans="1:3" ht="28" x14ac:dyDescent="0.35">
      <c r="A26" s="170"/>
      <c r="B26" s="22" t="s">
        <v>525</v>
      </c>
      <c r="C26" s="22" t="s">
        <v>526</v>
      </c>
    </row>
    <row r="27" spans="1:3" ht="42" x14ac:dyDescent="0.35">
      <c r="A27" s="165" t="s">
        <v>675</v>
      </c>
      <c r="B27" s="98" t="s">
        <v>527</v>
      </c>
      <c r="C27" s="22" t="s">
        <v>174</v>
      </c>
    </row>
    <row r="28" spans="1:3" ht="182" x14ac:dyDescent="0.35">
      <c r="A28" s="166"/>
      <c r="B28" s="31" t="s">
        <v>528</v>
      </c>
      <c r="C28" s="23" t="s">
        <v>529</v>
      </c>
    </row>
    <row r="29" spans="1:3" ht="28" x14ac:dyDescent="0.35">
      <c r="A29" s="166"/>
      <c r="B29" s="98" t="s">
        <v>530</v>
      </c>
      <c r="C29" s="22" t="s">
        <v>531</v>
      </c>
    </row>
    <row r="30" spans="1:3" ht="42" x14ac:dyDescent="0.35">
      <c r="A30" s="166"/>
      <c r="B30" s="98" t="s">
        <v>532</v>
      </c>
      <c r="C30" s="22" t="s">
        <v>533</v>
      </c>
    </row>
    <row r="31" spans="1:3" ht="98" x14ac:dyDescent="0.35">
      <c r="A31" s="166"/>
      <c r="B31" s="98" t="s">
        <v>534</v>
      </c>
      <c r="C31" s="22" t="s">
        <v>535</v>
      </c>
    </row>
    <row r="32" spans="1:3" ht="28" x14ac:dyDescent="0.35">
      <c r="A32" s="166"/>
      <c r="B32" s="98" t="s">
        <v>536</v>
      </c>
      <c r="C32" s="22" t="s">
        <v>537</v>
      </c>
    </row>
    <row r="33" spans="1:3" ht="28" x14ac:dyDescent="0.35">
      <c r="A33" s="166"/>
      <c r="B33" s="98" t="s">
        <v>538</v>
      </c>
      <c r="C33" s="22" t="s">
        <v>539</v>
      </c>
    </row>
    <row r="34" spans="1:3" ht="28" x14ac:dyDescent="0.35">
      <c r="A34" s="166"/>
      <c r="B34" s="98" t="s">
        <v>540</v>
      </c>
      <c r="C34" s="22" t="s">
        <v>541</v>
      </c>
    </row>
    <row r="35" spans="1:3" ht="112" x14ac:dyDescent="0.35">
      <c r="A35" s="166"/>
      <c r="B35" s="98" t="s">
        <v>542</v>
      </c>
      <c r="C35" s="22" t="s">
        <v>543</v>
      </c>
    </row>
    <row r="36" spans="1:3" ht="56" x14ac:dyDescent="0.35">
      <c r="A36" s="166"/>
      <c r="B36" s="98" t="s">
        <v>544</v>
      </c>
      <c r="C36" s="22" t="s">
        <v>545</v>
      </c>
    </row>
    <row r="37" spans="1:3" ht="42" x14ac:dyDescent="0.35">
      <c r="A37" s="166"/>
      <c r="B37" s="98" t="s">
        <v>546</v>
      </c>
      <c r="C37" s="22" t="s">
        <v>547</v>
      </c>
    </row>
    <row r="38" spans="1:3" x14ac:dyDescent="0.35">
      <c r="A38" s="166"/>
      <c r="B38" s="98" t="s">
        <v>548</v>
      </c>
      <c r="C38" s="22" t="s">
        <v>549</v>
      </c>
    </row>
    <row r="39" spans="1:3" ht="112" x14ac:dyDescent="0.3">
      <c r="A39" s="166"/>
      <c r="B39" s="40" t="s">
        <v>550</v>
      </c>
      <c r="C39" s="99" t="s">
        <v>551</v>
      </c>
    </row>
    <row r="40" spans="1:3" ht="84" x14ac:dyDescent="0.3">
      <c r="A40" s="166"/>
      <c r="B40" s="72" t="s">
        <v>552</v>
      </c>
      <c r="C40" s="100" t="s">
        <v>553</v>
      </c>
    </row>
    <row r="41" spans="1:3" ht="126" x14ac:dyDescent="0.35">
      <c r="A41" s="166"/>
      <c r="B41" s="31" t="s">
        <v>175</v>
      </c>
      <c r="C41" s="23" t="s">
        <v>176</v>
      </c>
    </row>
    <row r="42" spans="1:3" ht="70" x14ac:dyDescent="0.35">
      <c r="A42" s="166"/>
      <c r="B42" s="98" t="s">
        <v>177</v>
      </c>
      <c r="C42" s="22" t="s">
        <v>178</v>
      </c>
    </row>
    <row r="43" spans="1:3" ht="70" x14ac:dyDescent="0.35">
      <c r="A43" s="167"/>
      <c r="B43" s="22" t="s">
        <v>179</v>
      </c>
      <c r="C43" s="22" t="s">
        <v>180</v>
      </c>
    </row>
    <row r="44" spans="1:3" ht="42" x14ac:dyDescent="0.35">
      <c r="A44" s="164" t="s">
        <v>676</v>
      </c>
      <c r="B44" s="73" t="s">
        <v>554</v>
      </c>
      <c r="C44" s="73" t="s">
        <v>555</v>
      </c>
    </row>
    <row r="45" spans="1:3" ht="42" x14ac:dyDescent="0.35">
      <c r="A45" s="164"/>
      <c r="B45" s="73" t="s">
        <v>556</v>
      </c>
      <c r="C45" s="73" t="s">
        <v>557</v>
      </c>
    </row>
    <row r="46" spans="1:3" ht="56" x14ac:dyDescent="0.35">
      <c r="A46" s="164"/>
      <c r="B46" s="73" t="s">
        <v>558</v>
      </c>
      <c r="C46" s="73" t="s">
        <v>559</v>
      </c>
    </row>
    <row r="47" spans="1:3" ht="42" x14ac:dyDescent="0.35">
      <c r="A47" s="164"/>
      <c r="B47" s="73" t="s">
        <v>560</v>
      </c>
      <c r="C47" s="73" t="s">
        <v>561</v>
      </c>
    </row>
    <row r="48" spans="1:3" ht="42" x14ac:dyDescent="0.35">
      <c r="A48" s="164"/>
      <c r="B48" s="73" t="s">
        <v>562</v>
      </c>
      <c r="C48" s="73" t="s">
        <v>563</v>
      </c>
    </row>
    <row r="49" spans="1:3" ht="28" x14ac:dyDescent="0.35">
      <c r="A49" s="164"/>
      <c r="B49" s="73" t="s">
        <v>564</v>
      </c>
      <c r="C49" s="73" t="s">
        <v>565</v>
      </c>
    </row>
    <row r="50" spans="1:3" ht="42" x14ac:dyDescent="0.35">
      <c r="A50" s="164"/>
      <c r="B50" s="73" t="s">
        <v>566</v>
      </c>
      <c r="C50" s="73" t="s">
        <v>567</v>
      </c>
    </row>
    <row r="51" spans="1:3" ht="28" x14ac:dyDescent="0.35">
      <c r="A51" s="164"/>
      <c r="B51" s="73" t="s">
        <v>568</v>
      </c>
      <c r="C51" s="73" t="s">
        <v>569</v>
      </c>
    </row>
    <row r="52" spans="1:3" ht="28" x14ac:dyDescent="0.35">
      <c r="A52" s="164"/>
      <c r="B52" s="73" t="s">
        <v>177</v>
      </c>
      <c r="C52" s="73" t="s">
        <v>570</v>
      </c>
    </row>
    <row r="53" spans="1:3" ht="42" x14ac:dyDescent="0.35">
      <c r="A53" s="164"/>
      <c r="B53" s="73" t="s">
        <v>571</v>
      </c>
      <c r="C53" s="73" t="s">
        <v>572</v>
      </c>
    </row>
    <row r="54" spans="1:3" ht="42" x14ac:dyDescent="0.35">
      <c r="A54" s="164"/>
      <c r="B54" s="73" t="s">
        <v>573</v>
      </c>
      <c r="C54" s="73" t="s">
        <v>574</v>
      </c>
    </row>
    <row r="55" spans="1:3" ht="28" x14ac:dyDescent="0.35">
      <c r="A55" s="164"/>
      <c r="B55" s="73" t="s">
        <v>575</v>
      </c>
      <c r="C55" s="73" t="s">
        <v>576</v>
      </c>
    </row>
    <row r="56" spans="1:3" ht="42" x14ac:dyDescent="0.35">
      <c r="A56" s="164"/>
      <c r="B56" s="73" t="s">
        <v>577</v>
      </c>
      <c r="C56" s="73" t="s">
        <v>578</v>
      </c>
    </row>
    <row r="57" spans="1:3" ht="42" x14ac:dyDescent="0.35">
      <c r="A57" s="164"/>
      <c r="B57" s="73" t="s">
        <v>579</v>
      </c>
      <c r="C57" s="73" t="s">
        <v>580</v>
      </c>
    </row>
    <row r="58" spans="1:3" ht="126" x14ac:dyDescent="0.35">
      <c r="A58" s="164"/>
      <c r="B58" s="73" t="s">
        <v>581</v>
      </c>
      <c r="C58" s="73" t="s">
        <v>582</v>
      </c>
    </row>
    <row r="59" spans="1:3" ht="70" x14ac:dyDescent="0.35">
      <c r="A59" s="164"/>
      <c r="B59" s="73" t="s">
        <v>583</v>
      </c>
      <c r="C59" s="73" t="s">
        <v>584</v>
      </c>
    </row>
    <row r="60" spans="1:3" ht="70" x14ac:dyDescent="0.35">
      <c r="A60" s="164"/>
      <c r="B60" s="73" t="s">
        <v>585</v>
      </c>
      <c r="C60" s="73" t="s">
        <v>586</v>
      </c>
    </row>
    <row r="61" spans="1:3" ht="98" x14ac:dyDescent="0.35">
      <c r="A61" s="164"/>
      <c r="B61" s="73" t="s">
        <v>587</v>
      </c>
      <c r="C61" s="73" t="s">
        <v>588</v>
      </c>
    </row>
  </sheetData>
  <mergeCells count="5">
    <mergeCell ref="A44:A61"/>
    <mergeCell ref="A27:A43"/>
    <mergeCell ref="A2:A10"/>
    <mergeCell ref="A11:A15"/>
    <mergeCell ref="A16:A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69A2A-593A-4F8D-8634-5685BE346144}">
  <sheetPr>
    <tabColor rgb="FF00B050"/>
  </sheetPr>
  <dimension ref="A1:C53"/>
  <sheetViews>
    <sheetView showGridLines="0" workbookViewId="0">
      <pane ySplit="1" topLeftCell="A2" activePane="bottomLeft" state="frozen"/>
      <selection pane="bottomLeft" activeCell="D21" sqref="D21"/>
    </sheetView>
  </sheetViews>
  <sheetFormatPr defaultRowHeight="14.5" x14ac:dyDescent="0.35"/>
  <cols>
    <col min="1" max="1" width="20.7265625" style="108" customWidth="1"/>
    <col min="2" max="2" width="30.7265625" customWidth="1"/>
    <col min="3" max="3" width="50.7265625" customWidth="1"/>
    <col min="6" max="6" width="34.1796875" customWidth="1"/>
  </cols>
  <sheetData>
    <row r="1" spans="1:3" s="14" customFormat="1" ht="15.5" x14ac:dyDescent="0.35">
      <c r="A1" s="107" t="s">
        <v>9</v>
      </c>
      <c r="B1" s="15" t="s">
        <v>121</v>
      </c>
      <c r="C1" s="15" t="s">
        <v>122</v>
      </c>
    </row>
    <row r="2" spans="1:3" s="14" customFormat="1" ht="28" x14ac:dyDescent="0.35">
      <c r="A2" s="171" t="s">
        <v>123</v>
      </c>
      <c r="B2" s="37" t="s">
        <v>124</v>
      </c>
      <c r="C2" s="37" t="s">
        <v>125</v>
      </c>
    </row>
    <row r="3" spans="1:3" s="14" customFormat="1" ht="42" x14ac:dyDescent="0.35">
      <c r="A3" s="172"/>
      <c r="B3" s="37" t="s">
        <v>126</v>
      </c>
      <c r="C3" s="37" t="s">
        <v>127</v>
      </c>
    </row>
    <row r="4" spans="1:3" s="14" customFormat="1" ht="70" x14ac:dyDescent="0.35">
      <c r="A4" s="172"/>
      <c r="B4" s="37" t="s">
        <v>128</v>
      </c>
      <c r="C4" s="37" t="s">
        <v>129</v>
      </c>
    </row>
    <row r="5" spans="1:3" s="14" customFormat="1" ht="42" x14ac:dyDescent="0.35">
      <c r="A5" s="172"/>
      <c r="B5" s="37" t="s">
        <v>130</v>
      </c>
      <c r="C5" s="37" t="s">
        <v>131</v>
      </c>
    </row>
    <row r="6" spans="1:3" s="14" customFormat="1" ht="28" x14ac:dyDescent="0.35">
      <c r="A6" s="172"/>
      <c r="B6" s="37" t="s">
        <v>132</v>
      </c>
      <c r="C6" s="37" t="s">
        <v>133</v>
      </c>
    </row>
    <row r="7" spans="1:3" s="14" customFormat="1" ht="28" x14ac:dyDescent="0.35">
      <c r="A7" s="173"/>
      <c r="B7" s="37" t="s">
        <v>134</v>
      </c>
      <c r="C7" s="37" t="s">
        <v>135</v>
      </c>
    </row>
    <row r="8" spans="1:3" s="14" customFormat="1" ht="56" x14ac:dyDescent="0.35">
      <c r="A8" s="80" t="s">
        <v>374</v>
      </c>
      <c r="B8" s="37" t="s">
        <v>443</v>
      </c>
      <c r="C8" s="37" t="s">
        <v>444</v>
      </c>
    </row>
    <row r="9" spans="1:3" s="14" customFormat="1" ht="28" x14ac:dyDescent="0.35">
      <c r="A9" s="80"/>
      <c r="B9" s="37" t="s">
        <v>445</v>
      </c>
      <c r="C9" s="37" t="s">
        <v>446</v>
      </c>
    </row>
    <row r="10" spans="1:3" s="14" customFormat="1" ht="56" x14ac:dyDescent="0.35">
      <c r="A10" s="80"/>
      <c r="B10" s="37" t="s">
        <v>447</v>
      </c>
      <c r="C10" s="37" t="s">
        <v>448</v>
      </c>
    </row>
    <row r="11" spans="1:3" s="14" customFormat="1" ht="28" x14ac:dyDescent="0.35">
      <c r="A11" s="80"/>
      <c r="B11" s="37" t="s">
        <v>449</v>
      </c>
      <c r="C11" s="37" t="s">
        <v>450</v>
      </c>
    </row>
    <row r="12" spans="1:3" s="14" customFormat="1" ht="28" x14ac:dyDescent="0.35">
      <c r="A12" s="80"/>
      <c r="B12" s="37" t="s">
        <v>451</v>
      </c>
      <c r="C12" s="37" t="s">
        <v>452</v>
      </c>
    </row>
    <row r="13" spans="1:3" s="14" customFormat="1" ht="42" x14ac:dyDescent="0.35">
      <c r="A13" s="80"/>
      <c r="B13" s="37" t="s">
        <v>453</v>
      </c>
      <c r="C13" s="37" t="s">
        <v>454</v>
      </c>
    </row>
    <row r="14" spans="1:3" s="14" customFormat="1" ht="42" x14ac:dyDescent="0.35">
      <c r="A14" s="171" t="s">
        <v>19</v>
      </c>
      <c r="B14" s="22" t="s">
        <v>136</v>
      </c>
      <c r="C14" s="22" t="s">
        <v>434</v>
      </c>
    </row>
    <row r="15" spans="1:3" s="14" customFormat="1" ht="42" x14ac:dyDescent="0.35">
      <c r="A15" s="172"/>
      <c r="B15" s="22" t="s">
        <v>137</v>
      </c>
      <c r="C15" s="22" t="s">
        <v>435</v>
      </c>
    </row>
    <row r="16" spans="1:3" s="14" customFormat="1" ht="56" x14ac:dyDescent="0.35">
      <c r="A16" s="172"/>
      <c r="B16" s="22" t="s">
        <v>138</v>
      </c>
      <c r="C16" s="22" t="s">
        <v>436</v>
      </c>
    </row>
    <row r="17" spans="1:3" s="14" customFormat="1" ht="84" x14ac:dyDescent="0.35">
      <c r="A17" s="172"/>
      <c r="B17" s="22" t="s">
        <v>139</v>
      </c>
      <c r="C17" s="22" t="s">
        <v>437</v>
      </c>
    </row>
    <row r="18" spans="1:3" s="14" customFormat="1" ht="70" x14ac:dyDescent="0.35">
      <c r="A18" s="172"/>
      <c r="B18" s="22" t="s">
        <v>140</v>
      </c>
      <c r="C18" s="22" t="s">
        <v>438</v>
      </c>
    </row>
    <row r="19" spans="1:3" s="14" customFormat="1" ht="84" x14ac:dyDescent="0.35">
      <c r="A19" s="172"/>
      <c r="B19" s="22" t="s">
        <v>141</v>
      </c>
      <c r="C19" s="22" t="s">
        <v>439</v>
      </c>
    </row>
    <row r="20" spans="1:3" s="14" customFormat="1" ht="70" x14ac:dyDescent="0.35">
      <c r="A20" s="173"/>
      <c r="B20" s="22" t="s">
        <v>142</v>
      </c>
      <c r="C20" s="22" t="s">
        <v>440</v>
      </c>
    </row>
    <row r="21" spans="1:3" s="14" customFormat="1" ht="42" x14ac:dyDescent="0.35">
      <c r="A21" s="122" t="s">
        <v>114</v>
      </c>
      <c r="B21" s="101" t="s">
        <v>589</v>
      </c>
      <c r="C21" s="102" t="s">
        <v>590</v>
      </c>
    </row>
    <row r="22" spans="1:3" s="14" customFormat="1" ht="56" x14ac:dyDescent="0.35">
      <c r="A22" s="122"/>
      <c r="B22" s="22" t="s">
        <v>591</v>
      </c>
      <c r="C22" s="22" t="s">
        <v>592</v>
      </c>
    </row>
    <row r="23" spans="1:3" s="14" customFormat="1" ht="42" x14ac:dyDescent="0.35">
      <c r="A23" s="122"/>
      <c r="B23" s="22" t="s">
        <v>593</v>
      </c>
      <c r="C23" s="22" t="s">
        <v>594</v>
      </c>
    </row>
    <row r="24" spans="1:3" s="14" customFormat="1" ht="56" x14ac:dyDescent="0.35">
      <c r="A24" s="122"/>
      <c r="B24" s="22" t="s">
        <v>595</v>
      </c>
      <c r="C24" s="22" t="s">
        <v>596</v>
      </c>
    </row>
    <row r="25" spans="1:3" s="14" customFormat="1" ht="28" x14ac:dyDescent="0.35">
      <c r="A25" s="122"/>
      <c r="B25" s="22" t="s">
        <v>597</v>
      </c>
      <c r="C25" s="22" t="s">
        <v>598</v>
      </c>
    </row>
    <row r="26" spans="1:3" s="14" customFormat="1" ht="42" x14ac:dyDescent="0.35">
      <c r="A26" s="122"/>
      <c r="B26" s="22" t="s">
        <v>599</v>
      </c>
      <c r="C26" s="22" t="s">
        <v>600</v>
      </c>
    </row>
    <row r="27" spans="1:3" s="14" customFormat="1" ht="56" x14ac:dyDescent="0.35">
      <c r="A27" s="123"/>
      <c r="B27" s="22" t="s">
        <v>601</v>
      </c>
      <c r="C27" s="22" t="s">
        <v>602</v>
      </c>
    </row>
    <row r="28" spans="1:3" s="14" customFormat="1" ht="98" x14ac:dyDescent="0.35">
      <c r="A28" s="156" t="s">
        <v>112</v>
      </c>
      <c r="B28" s="22" t="s">
        <v>603</v>
      </c>
      <c r="C28" s="22" t="s">
        <v>604</v>
      </c>
    </row>
    <row r="29" spans="1:3" s="14" customFormat="1" ht="42" x14ac:dyDescent="0.35">
      <c r="A29" s="157"/>
      <c r="B29" s="22" t="s">
        <v>605</v>
      </c>
      <c r="C29" s="22" t="s">
        <v>606</v>
      </c>
    </row>
    <row r="30" spans="1:3" s="14" customFormat="1" ht="56" x14ac:dyDescent="0.35">
      <c r="A30" s="157"/>
      <c r="B30" s="22" t="s">
        <v>607</v>
      </c>
      <c r="C30" s="22" t="s">
        <v>608</v>
      </c>
    </row>
    <row r="31" spans="1:3" s="14" customFormat="1" ht="70" x14ac:dyDescent="0.35">
      <c r="A31" s="157"/>
      <c r="B31" s="22" t="s">
        <v>609</v>
      </c>
      <c r="C31" s="22" t="s">
        <v>610</v>
      </c>
    </row>
    <row r="32" spans="1:3" s="14" customFormat="1" ht="98" x14ac:dyDescent="0.35">
      <c r="A32" s="157"/>
      <c r="B32" s="22" t="s">
        <v>611</v>
      </c>
      <c r="C32" s="22" t="s">
        <v>612</v>
      </c>
    </row>
    <row r="33" spans="1:3" s="14" customFormat="1" ht="56" x14ac:dyDescent="0.35">
      <c r="A33" s="158"/>
      <c r="B33" s="22" t="s">
        <v>613</v>
      </c>
      <c r="C33" s="22" t="s">
        <v>614</v>
      </c>
    </row>
    <row r="34" spans="1:3" ht="42" x14ac:dyDescent="0.35">
      <c r="A34" s="164" t="s">
        <v>383</v>
      </c>
      <c r="B34" s="22" t="s">
        <v>181</v>
      </c>
      <c r="C34" s="22" t="s">
        <v>182</v>
      </c>
    </row>
    <row r="35" spans="1:3" ht="42" x14ac:dyDescent="0.35">
      <c r="A35" s="164"/>
      <c r="B35" s="22" t="s">
        <v>183</v>
      </c>
      <c r="C35" s="22" t="s">
        <v>184</v>
      </c>
    </row>
    <row r="36" spans="1:3" ht="42" x14ac:dyDescent="0.35">
      <c r="A36" s="164"/>
      <c r="B36" s="22" t="s">
        <v>185</v>
      </c>
      <c r="C36" s="22" t="s">
        <v>186</v>
      </c>
    </row>
    <row r="37" spans="1:3" ht="56" x14ac:dyDescent="0.35">
      <c r="A37" s="164"/>
      <c r="B37" s="22" t="s">
        <v>187</v>
      </c>
      <c r="C37" s="22" t="s">
        <v>188</v>
      </c>
    </row>
    <row r="38" spans="1:3" ht="56" x14ac:dyDescent="0.35">
      <c r="A38" s="164"/>
      <c r="B38" s="22" t="s">
        <v>189</v>
      </c>
      <c r="C38" s="22" t="s">
        <v>190</v>
      </c>
    </row>
    <row r="39" spans="1:3" ht="42" x14ac:dyDescent="0.35">
      <c r="A39" s="164"/>
      <c r="B39" s="22" t="s">
        <v>191</v>
      </c>
      <c r="C39" s="22" t="s">
        <v>192</v>
      </c>
    </row>
    <row r="40" spans="1:3" ht="42" x14ac:dyDescent="0.35">
      <c r="A40" s="164"/>
      <c r="B40" s="22" t="s">
        <v>193</v>
      </c>
      <c r="C40" s="22" t="s">
        <v>194</v>
      </c>
    </row>
    <row r="41" spans="1:3" ht="56" x14ac:dyDescent="0.35">
      <c r="A41" s="164"/>
      <c r="B41" s="22" t="s">
        <v>195</v>
      </c>
      <c r="C41" s="22" t="s">
        <v>196</v>
      </c>
    </row>
    <row r="42" spans="1:3" ht="42" x14ac:dyDescent="0.35">
      <c r="A42" s="156" t="s">
        <v>23</v>
      </c>
      <c r="B42" s="104" t="s">
        <v>197</v>
      </c>
      <c r="C42" s="77" t="s">
        <v>198</v>
      </c>
    </row>
    <row r="43" spans="1:3" ht="56" x14ac:dyDescent="0.35">
      <c r="A43" s="157"/>
      <c r="B43" s="105" t="s">
        <v>199</v>
      </c>
      <c r="C43" s="106" t="s">
        <v>200</v>
      </c>
    </row>
    <row r="44" spans="1:3" ht="28" x14ac:dyDescent="0.35">
      <c r="A44" s="157"/>
      <c r="B44" s="104" t="s">
        <v>201</v>
      </c>
      <c r="C44" s="75" t="s">
        <v>202</v>
      </c>
    </row>
    <row r="45" spans="1:3" ht="42" x14ac:dyDescent="0.35">
      <c r="A45" s="157"/>
      <c r="B45" s="104" t="s">
        <v>203</v>
      </c>
      <c r="C45" s="75" t="s">
        <v>204</v>
      </c>
    </row>
    <row r="46" spans="1:3" ht="42" x14ac:dyDescent="0.35">
      <c r="A46" s="157"/>
      <c r="B46" s="104" t="s">
        <v>205</v>
      </c>
      <c r="C46" s="75" t="s">
        <v>206</v>
      </c>
    </row>
    <row r="47" spans="1:3" ht="28" x14ac:dyDescent="0.35">
      <c r="A47" s="157"/>
      <c r="B47" s="104" t="s">
        <v>207</v>
      </c>
      <c r="C47" s="75" t="s">
        <v>208</v>
      </c>
    </row>
    <row r="48" spans="1:3" ht="42" x14ac:dyDescent="0.35">
      <c r="A48" s="157"/>
      <c r="B48" s="104" t="s">
        <v>209</v>
      </c>
      <c r="C48" s="75" t="s">
        <v>210</v>
      </c>
    </row>
    <row r="49" spans="1:3" ht="42" x14ac:dyDescent="0.35">
      <c r="A49" s="157"/>
      <c r="B49" s="104" t="s">
        <v>211</v>
      </c>
      <c r="C49" s="75" t="s">
        <v>212</v>
      </c>
    </row>
    <row r="50" spans="1:3" ht="42" x14ac:dyDescent="0.35">
      <c r="A50" s="157"/>
      <c r="B50" s="104" t="s">
        <v>213</v>
      </c>
      <c r="C50" s="75" t="s">
        <v>214</v>
      </c>
    </row>
    <row r="51" spans="1:3" ht="42" x14ac:dyDescent="0.35">
      <c r="A51" s="157"/>
      <c r="B51" s="104" t="s">
        <v>215</v>
      </c>
      <c r="C51" s="75" t="s">
        <v>216</v>
      </c>
    </row>
    <row r="52" spans="1:3" ht="28" x14ac:dyDescent="0.35">
      <c r="A52" s="157"/>
      <c r="B52" s="104" t="s">
        <v>217</v>
      </c>
      <c r="C52" s="75" t="s">
        <v>218</v>
      </c>
    </row>
    <row r="53" spans="1:3" ht="42" x14ac:dyDescent="0.35">
      <c r="A53" s="158"/>
      <c r="B53" s="104" t="s">
        <v>219</v>
      </c>
      <c r="C53" s="75" t="s">
        <v>220</v>
      </c>
    </row>
  </sheetData>
  <mergeCells count="5">
    <mergeCell ref="A34:A41"/>
    <mergeCell ref="A42:A53"/>
    <mergeCell ref="A28:A33"/>
    <mergeCell ref="A2:A7"/>
    <mergeCell ref="A14:A2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19985-5E1A-4D35-AEBC-78830341CB19}">
  <sheetPr>
    <tabColor rgb="FF00B0F0"/>
  </sheetPr>
  <dimension ref="A1:C30"/>
  <sheetViews>
    <sheetView showGridLines="0" workbookViewId="0">
      <pane ySplit="1" topLeftCell="A17" activePane="bottomLeft" state="frozen"/>
      <selection pane="bottomLeft" activeCell="E30" sqref="E30"/>
    </sheetView>
  </sheetViews>
  <sheetFormatPr defaultColWidth="8.7265625" defaultRowHeight="14" x14ac:dyDescent="0.35"/>
  <cols>
    <col min="1" max="1" width="25.1796875" style="21" customWidth="1"/>
    <col min="2" max="2" width="34" style="21" customWidth="1"/>
    <col min="3" max="3" width="38.453125" style="21" customWidth="1"/>
    <col min="4" max="16384" width="8.7265625" style="21"/>
  </cols>
  <sheetData>
    <row r="1" spans="1:3" s="109" customFormat="1" ht="20.149999999999999" customHeight="1" x14ac:dyDescent="0.35">
      <c r="A1" s="110" t="s">
        <v>9</v>
      </c>
      <c r="B1" s="110" t="s">
        <v>121</v>
      </c>
      <c r="C1" s="110" t="s">
        <v>122</v>
      </c>
    </row>
    <row r="2" spans="1:3" ht="56" x14ac:dyDescent="0.35">
      <c r="A2" s="156" t="s">
        <v>221</v>
      </c>
      <c r="B2" s="104" t="s">
        <v>222</v>
      </c>
      <c r="C2" s="22" t="s">
        <v>223</v>
      </c>
    </row>
    <row r="3" spans="1:3" ht="42" x14ac:dyDescent="0.35">
      <c r="A3" s="157"/>
      <c r="B3" s="104" t="s">
        <v>224</v>
      </c>
      <c r="C3" s="22" t="s">
        <v>225</v>
      </c>
    </row>
    <row r="4" spans="1:3" ht="56" x14ac:dyDescent="0.35">
      <c r="A4" s="157"/>
      <c r="B4" s="104" t="s">
        <v>226</v>
      </c>
      <c r="C4" s="22" t="s">
        <v>227</v>
      </c>
    </row>
    <row r="5" spans="1:3" ht="42" x14ac:dyDescent="0.35">
      <c r="A5" s="157"/>
      <c r="B5" s="104" t="s">
        <v>228</v>
      </c>
      <c r="C5" s="22" t="s">
        <v>229</v>
      </c>
    </row>
    <row r="6" spans="1:3" ht="42" x14ac:dyDescent="0.35">
      <c r="A6" s="157"/>
      <c r="B6" s="104" t="s">
        <v>230</v>
      </c>
      <c r="C6" s="22" t="s">
        <v>231</v>
      </c>
    </row>
    <row r="7" spans="1:3" ht="56" x14ac:dyDescent="0.35">
      <c r="A7" s="157"/>
      <c r="B7" s="104" t="s">
        <v>232</v>
      </c>
      <c r="C7" s="22" t="s">
        <v>233</v>
      </c>
    </row>
    <row r="8" spans="1:3" ht="42" x14ac:dyDescent="0.35">
      <c r="A8" s="164" t="s">
        <v>239</v>
      </c>
      <c r="B8" s="22" t="s">
        <v>240</v>
      </c>
      <c r="C8" s="22" t="s">
        <v>615</v>
      </c>
    </row>
    <row r="9" spans="1:3" ht="112" x14ac:dyDescent="0.35">
      <c r="A9" s="164"/>
      <c r="B9" s="53" t="s">
        <v>241</v>
      </c>
      <c r="C9" s="22" t="s">
        <v>616</v>
      </c>
    </row>
    <row r="10" spans="1:3" ht="84" x14ac:dyDescent="0.35">
      <c r="A10" s="164"/>
      <c r="B10" s="53" t="s">
        <v>242</v>
      </c>
      <c r="C10" s="22" t="s">
        <v>617</v>
      </c>
    </row>
    <row r="11" spans="1:3" ht="84" x14ac:dyDescent="0.35">
      <c r="A11" s="164"/>
      <c r="B11" s="53" t="s">
        <v>243</v>
      </c>
      <c r="C11" s="22" t="s">
        <v>618</v>
      </c>
    </row>
    <row r="12" spans="1:3" ht="98" x14ac:dyDescent="0.35">
      <c r="A12" s="164"/>
      <c r="B12" s="53" t="s">
        <v>244</v>
      </c>
      <c r="C12" s="22" t="s">
        <v>619</v>
      </c>
    </row>
    <row r="13" spans="1:3" ht="84" x14ac:dyDescent="0.35">
      <c r="A13" s="164"/>
      <c r="B13" s="53" t="s">
        <v>245</v>
      </c>
      <c r="C13" s="22" t="s">
        <v>620</v>
      </c>
    </row>
    <row r="14" spans="1:3" ht="70" x14ac:dyDescent="0.35">
      <c r="A14" s="174" t="s">
        <v>32</v>
      </c>
      <c r="B14" s="111" t="s">
        <v>173</v>
      </c>
      <c r="C14" s="112" t="s">
        <v>246</v>
      </c>
    </row>
    <row r="15" spans="1:3" ht="70" x14ac:dyDescent="0.35">
      <c r="A15" s="175"/>
      <c r="B15" s="104" t="s">
        <v>247</v>
      </c>
      <c r="C15" s="75" t="s">
        <v>248</v>
      </c>
    </row>
    <row r="16" spans="1:3" ht="70" x14ac:dyDescent="0.35">
      <c r="A16" s="175"/>
      <c r="B16" s="104" t="s">
        <v>249</v>
      </c>
      <c r="C16" s="75" t="s">
        <v>250</v>
      </c>
    </row>
    <row r="17" spans="1:3" ht="140" x14ac:dyDescent="0.35">
      <c r="A17" s="176"/>
      <c r="B17" s="114" t="s">
        <v>251</v>
      </c>
      <c r="C17" s="75" t="s">
        <v>252</v>
      </c>
    </row>
    <row r="18" spans="1:3" ht="42" x14ac:dyDescent="0.35">
      <c r="A18" s="156" t="s">
        <v>33</v>
      </c>
      <c r="B18" s="103" t="s">
        <v>253</v>
      </c>
      <c r="C18" s="22" t="s">
        <v>254</v>
      </c>
    </row>
    <row r="19" spans="1:3" ht="28" x14ac:dyDescent="0.35">
      <c r="A19" s="157"/>
      <c r="B19" s="103" t="s">
        <v>255</v>
      </c>
      <c r="C19" s="22" t="s">
        <v>256</v>
      </c>
    </row>
    <row r="20" spans="1:3" ht="42" x14ac:dyDescent="0.35">
      <c r="A20" s="157"/>
      <c r="B20" s="103" t="s">
        <v>257</v>
      </c>
      <c r="C20" s="22" t="s">
        <v>258</v>
      </c>
    </row>
    <row r="21" spans="1:3" ht="42" x14ac:dyDescent="0.35">
      <c r="A21" s="157"/>
      <c r="B21" s="103" t="s">
        <v>259</v>
      </c>
      <c r="C21" s="22" t="s">
        <v>260</v>
      </c>
    </row>
    <row r="22" spans="1:3" ht="56" x14ac:dyDescent="0.35">
      <c r="A22" s="157"/>
      <c r="B22" s="103" t="s">
        <v>261</v>
      </c>
      <c r="C22" s="22" t="s">
        <v>262</v>
      </c>
    </row>
    <row r="23" spans="1:3" ht="28" x14ac:dyDescent="0.35">
      <c r="A23" s="157"/>
      <c r="B23" s="103" t="s">
        <v>263</v>
      </c>
      <c r="C23" s="22" t="s">
        <v>264</v>
      </c>
    </row>
    <row r="24" spans="1:3" ht="42" x14ac:dyDescent="0.35">
      <c r="A24" s="157"/>
      <c r="B24" s="103" t="s">
        <v>265</v>
      </c>
      <c r="C24" s="22" t="s">
        <v>266</v>
      </c>
    </row>
    <row r="25" spans="1:3" ht="42" x14ac:dyDescent="0.35">
      <c r="A25" s="157"/>
      <c r="B25" s="103" t="s">
        <v>267</v>
      </c>
      <c r="C25" s="22" t="s">
        <v>268</v>
      </c>
    </row>
    <row r="26" spans="1:3" ht="42" x14ac:dyDescent="0.35">
      <c r="A26" s="157"/>
      <c r="B26" s="103" t="s">
        <v>269</v>
      </c>
      <c r="C26" s="22" t="s">
        <v>270</v>
      </c>
    </row>
    <row r="27" spans="1:3" ht="42" x14ac:dyDescent="0.35">
      <c r="A27" s="157"/>
      <c r="B27" s="103" t="s">
        <v>271</v>
      </c>
      <c r="C27" s="22" t="s">
        <v>272</v>
      </c>
    </row>
    <row r="28" spans="1:3" ht="42" x14ac:dyDescent="0.35">
      <c r="A28" s="157"/>
      <c r="B28" s="103" t="s">
        <v>273</v>
      </c>
      <c r="C28" s="22" t="s">
        <v>274</v>
      </c>
    </row>
    <row r="29" spans="1:3" ht="42" x14ac:dyDescent="0.35">
      <c r="A29" s="157"/>
      <c r="B29" s="103" t="s">
        <v>275</v>
      </c>
      <c r="C29" s="22" t="s">
        <v>276</v>
      </c>
    </row>
    <row r="30" spans="1:3" ht="28" x14ac:dyDescent="0.35">
      <c r="A30" s="158"/>
      <c r="B30" s="103" t="s">
        <v>277</v>
      </c>
      <c r="C30" s="22" t="s">
        <v>278</v>
      </c>
    </row>
  </sheetData>
  <mergeCells count="4">
    <mergeCell ref="A2:A7"/>
    <mergeCell ref="A8:A13"/>
    <mergeCell ref="A14:A17"/>
    <mergeCell ref="A18:A3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DC4AA-419D-49B1-B6B6-C761978A265C}">
  <sheetPr>
    <tabColor theme="5" tint="-0.249977111117893"/>
  </sheetPr>
  <dimension ref="A1:C14"/>
  <sheetViews>
    <sheetView showGridLines="0" workbookViewId="0">
      <pane ySplit="1" topLeftCell="A3" activePane="bottomLeft" state="frozen"/>
      <selection pane="bottomLeft" activeCell="C20" sqref="C20"/>
    </sheetView>
  </sheetViews>
  <sheetFormatPr defaultColWidth="8.7265625" defaultRowHeight="14.5" x14ac:dyDescent="0.35"/>
  <cols>
    <col min="1" max="1" width="17.1796875" style="13" bestFit="1" customWidth="1"/>
    <col min="2" max="2" width="44" style="13" customWidth="1"/>
    <col min="3" max="3" width="46.1796875" style="13" customWidth="1"/>
    <col min="4" max="16384" width="8.7265625" style="13"/>
  </cols>
  <sheetData>
    <row r="1" spans="1:3" s="16" customFormat="1" ht="20.149999999999999" customHeight="1" x14ac:dyDescent="0.35">
      <c r="A1" s="15" t="s">
        <v>9</v>
      </c>
      <c r="B1" s="15" t="s">
        <v>121</v>
      </c>
      <c r="C1" s="15" t="s">
        <v>122</v>
      </c>
    </row>
    <row r="2" spans="1:3" ht="56" x14ac:dyDescent="0.35">
      <c r="A2" s="164" t="s">
        <v>28</v>
      </c>
      <c r="B2" s="22" t="s">
        <v>234</v>
      </c>
      <c r="C2" s="22" t="s">
        <v>235</v>
      </c>
    </row>
    <row r="3" spans="1:3" ht="112" x14ac:dyDescent="0.35">
      <c r="A3" s="164"/>
      <c r="B3" s="22" t="s">
        <v>236</v>
      </c>
      <c r="C3" s="22" t="s">
        <v>621</v>
      </c>
    </row>
    <row r="4" spans="1:3" ht="154" x14ac:dyDescent="0.35">
      <c r="A4" s="164"/>
      <c r="B4" s="22" t="s">
        <v>237</v>
      </c>
      <c r="C4" s="22" t="s">
        <v>238</v>
      </c>
    </row>
    <row r="5" spans="1:3" ht="42" x14ac:dyDescent="0.35">
      <c r="A5" s="177" t="s">
        <v>36</v>
      </c>
      <c r="B5" s="53" t="s">
        <v>279</v>
      </c>
      <c r="C5" s="22" t="s">
        <v>280</v>
      </c>
    </row>
    <row r="6" spans="1:3" ht="28" x14ac:dyDescent="0.35">
      <c r="A6" s="177"/>
      <c r="B6" s="53" t="s">
        <v>281</v>
      </c>
      <c r="C6" s="22" t="s">
        <v>282</v>
      </c>
    </row>
    <row r="7" spans="1:3" ht="84" x14ac:dyDescent="0.35">
      <c r="A7" s="177"/>
      <c r="B7" s="53" t="s">
        <v>283</v>
      </c>
      <c r="C7" s="22" t="s">
        <v>284</v>
      </c>
    </row>
    <row r="8" spans="1:3" ht="84" x14ac:dyDescent="0.35">
      <c r="A8" s="177"/>
      <c r="B8" s="53" t="s">
        <v>285</v>
      </c>
      <c r="C8" s="22" t="s">
        <v>286</v>
      </c>
    </row>
    <row r="9" spans="1:3" ht="56" x14ac:dyDescent="0.35">
      <c r="A9" s="177"/>
      <c r="B9" s="53" t="s">
        <v>287</v>
      </c>
      <c r="C9" s="22" t="s">
        <v>288</v>
      </c>
    </row>
    <row r="10" spans="1:3" ht="28" x14ac:dyDescent="0.35">
      <c r="A10" s="177"/>
      <c r="B10" s="53" t="s">
        <v>289</v>
      </c>
      <c r="C10" s="22" t="s">
        <v>290</v>
      </c>
    </row>
    <row r="11" spans="1:3" ht="28" x14ac:dyDescent="0.35">
      <c r="A11" s="177"/>
      <c r="B11" s="53" t="s">
        <v>291</v>
      </c>
      <c r="C11" s="22" t="s">
        <v>292</v>
      </c>
    </row>
    <row r="12" spans="1:3" ht="42" x14ac:dyDescent="0.35">
      <c r="A12" s="177"/>
      <c r="B12" s="53" t="s">
        <v>293</v>
      </c>
      <c r="C12" s="22" t="s">
        <v>294</v>
      </c>
    </row>
    <row r="13" spans="1:3" ht="42" x14ac:dyDescent="0.35">
      <c r="A13" s="177"/>
      <c r="B13" s="53" t="s">
        <v>295</v>
      </c>
      <c r="C13" s="22" t="s">
        <v>296</v>
      </c>
    </row>
    <row r="14" spans="1:3" ht="70" x14ac:dyDescent="0.35">
      <c r="A14" s="177"/>
      <c r="B14" s="53" t="s">
        <v>297</v>
      </c>
      <c r="C14" s="22" t="s">
        <v>298</v>
      </c>
    </row>
  </sheetData>
  <mergeCells count="2">
    <mergeCell ref="A2:A4"/>
    <mergeCell ref="A5:A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1B76FF-DBC5-45D4-9D57-B7A3C5C0A0E5}">
  <sheetPr>
    <tabColor rgb="FFFFC000"/>
  </sheetPr>
  <dimension ref="A1:C51"/>
  <sheetViews>
    <sheetView showGridLines="0" workbookViewId="0">
      <pane ySplit="1" topLeftCell="A26" activePane="bottomLeft" state="frozen"/>
      <selection pane="bottomLeft" activeCell="B32" sqref="B32"/>
    </sheetView>
  </sheetViews>
  <sheetFormatPr defaultRowHeight="14" x14ac:dyDescent="0.3"/>
  <cols>
    <col min="1" max="1" width="27.453125" style="64" customWidth="1"/>
    <col min="2" max="2" width="25.26953125" style="64" customWidth="1"/>
    <col min="3" max="3" width="41.90625" style="64" customWidth="1"/>
    <col min="4" max="16384" width="8.7265625" style="64"/>
  </cols>
  <sheetData>
    <row r="1" spans="1:3" s="67" customFormat="1" ht="20.149999999999999" customHeight="1" x14ac:dyDescent="0.35">
      <c r="A1" s="115" t="s">
        <v>9</v>
      </c>
      <c r="B1" s="115" t="s">
        <v>121</v>
      </c>
      <c r="C1" s="115" t="s">
        <v>122</v>
      </c>
    </row>
    <row r="2" spans="1:3" s="21" customFormat="1" ht="70" x14ac:dyDescent="0.35">
      <c r="A2" s="178" t="s">
        <v>390</v>
      </c>
      <c r="B2" s="36" t="s">
        <v>165</v>
      </c>
      <c r="C2" s="28" t="s">
        <v>166</v>
      </c>
    </row>
    <row r="3" spans="1:3" s="21" customFormat="1" ht="70" x14ac:dyDescent="0.35">
      <c r="A3" s="179"/>
      <c r="B3" s="36" t="s">
        <v>167</v>
      </c>
      <c r="C3" s="28" t="s">
        <v>441</v>
      </c>
    </row>
    <row r="4" spans="1:3" s="21" customFormat="1" ht="70" x14ac:dyDescent="0.35">
      <c r="A4" s="180"/>
      <c r="B4" s="36" t="s">
        <v>168</v>
      </c>
      <c r="C4" s="28" t="s">
        <v>442</v>
      </c>
    </row>
    <row r="5" spans="1:3" s="21" customFormat="1" ht="42" x14ac:dyDescent="0.35">
      <c r="A5" s="178" t="s">
        <v>399</v>
      </c>
      <c r="B5" s="121" t="s">
        <v>648</v>
      </c>
      <c r="C5" s="73" t="s">
        <v>649</v>
      </c>
    </row>
    <row r="6" spans="1:3" s="21" customFormat="1" ht="42" x14ac:dyDescent="0.35">
      <c r="A6" s="179"/>
      <c r="B6" s="121" t="s">
        <v>650</v>
      </c>
      <c r="C6" s="73" t="s">
        <v>651</v>
      </c>
    </row>
    <row r="7" spans="1:3" s="21" customFormat="1" ht="28" x14ac:dyDescent="0.35">
      <c r="A7" s="179"/>
      <c r="B7" s="121" t="s">
        <v>652</v>
      </c>
      <c r="C7" s="73" t="s">
        <v>653</v>
      </c>
    </row>
    <row r="8" spans="1:3" s="21" customFormat="1" ht="42" x14ac:dyDescent="0.35">
      <c r="A8" s="179"/>
      <c r="B8" s="121" t="s">
        <v>654</v>
      </c>
      <c r="C8" s="73" t="s">
        <v>655</v>
      </c>
    </row>
    <row r="9" spans="1:3" s="21" customFormat="1" ht="42" x14ac:dyDescent="0.35">
      <c r="A9" s="179"/>
      <c r="B9" s="121" t="s">
        <v>656</v>
      </c>
      <c r="C9" s="73" t="s">
        <v>657</v>
      </c>
    </row>
    <row r="10" spans="1:3" s="21" customFormat="1" ht="28" x14ac:dyDescent="0.35">
      <c r="A10" s="179"/>
      <c r="B10" s="121" t="s">
        <v>658</v>
      </c>
      <c r="C10" s="73" t="s">
        <v>659</v>
      </c>
    </row>
    <row r="11" spans="1:3" s="21" customFormat="1" ht="28" x14ac:dyDescent="0.35">
      <c r="A11" s="180"/>
      <c r="B11" s="121" t="s">
        <v>660</v>
      </c>
      <c r="C11" s="73" t="s">
        <v>661</v>
      </c>
    </row>
    <row r="12" spans="1:3" s="21" customFormat="1" ht="28" x14ac:dyDescent="0.35">
      <c r="A12" s="178" t="s">
        <v>392</v>
      </c>
      <c r="B12" s="37" t="s">
        <v>622</v>
      </c>
      <c r="C12" s="37" t="s">
        <v>623</v>
      </c>
    </row>
    <row r="13" spans="1:3" s="21" customFormat="1" ht="56" x14ac:dyDescent="0.35">
      <c r="A13" s="179"/>
      <c r="B13" s="37" t="s">
        <v>624</v>
      </c>
      <c r="C13" s="37" t="s">
        <v>625</v>
      </c>
    </row>
    <row r="14" spans="1:3" s="21" customFormat="1" ht="28" x14ac:dyDescent="0.35">
      <c r="A14" s="179"/>
      <c r="B14" s="37" t="s">
        <v>626</v>
      </c>
      <c r="C14" s="37" t="s">
        <v>627</v>
      </c>
    </row>
    <row r="15" spans="1:3" s="21" customFormat="1" ht="42" x14ac:dyDescent="0.35">
      <c r="A15" s="179"/>
      <c r="B15" s="116" t="s">
        <v>628</v>
      </c>
      <c r="C15" s="79" t="s">
        <v>629</v>
      </c>
    </row>
    <row r="16" spans="1:3" s="21" customFormat="1" ht="28" x14ac:dyDescent="0.35">
      <c r="A16" s="180"/>
      <c r="B16" s="37" t="s">
        <v>630</v>
      </c>
      <c r="C16" s="37" t="s">
        <v>631</v>
      </c>
    </row>
    <row r="17" spans="1:3" s="21" customFormat="1" ht="70" x14ac:dyDescent="0.35">
      <c r="A17" s="178" t="s">
        <v>432</v>
      </c>
      <c r="B17" s="36" t="s">
        <v>143</v>
      </c>
      <c r="C17" s="28" t="s">
        <v>144</v>
      </c>
    </row>
    <row r="18" spans="1:3" s="21" customFormat="1" ht="84" x14ac:dyDescent="0.35">
      <c r="A18" s="179"/>
      <c r="B18" s="36" t="s">
        <v>145</v>
      </c>
      <c r="C18" s="28" t="s">
        <v>146</v>
      </c>
    </row>
    <row r="19" spans="1:3" s="21" customFormat="1" ht="70" x14ac:dyDescent="0.35">
      <c r="A19" s="179"/>
      <c r="B19" s="36" t="s">
        <v>147</v>
      </c>
      <c r="C19" s="28" t="s">
        <v>148</v>
      </c>
    </row>
    <row r="20" spans="1:3" s="21" customFormat="1" ht="112" x14ac:dyDescent="0.35">
      <c r="A20" s="179"/>
      <c r="B20" s="36" t="s">
        <v>149</v>
      </c>
      <c r="C20" s="28" t="s">
        <v>150</v>
      </c>
    </row>
    <row r="21" spans="1:3" s="21" customFormat="1" ht="42" x14ac:dyDescent="0.35">
      <c r="A21" s="179"/>
      <c r="B21" s="36" t="s">
        <v>151</v>
      </c>
      <c r="C21" s="28" t="s">
        <v>152</v>
      </c>
    </row>
    <row r="22" spans="1:3" s="21" customFormat="1" ht="56" x14ac:dyDescent="0.35">
      <c r="A22" s="179"/>
      <c r="B22" s="36" t="s">
        <v>153</v>
      </c>
      <c r="C22" s="28" t="s">
        <v>154</v>
      </c>
    </row>
    <row r="23" spans="1:3" s="21" customFormat="1" ht="42" x14ac:dyDescent="0.35">
      <c r="A23" s="179"/>
      <c r="B23" s="36" t="s">
        <v>155</v>
      </c>
      <c r="C23" s="28" t="s">
        <v>156</v>
      </c>
    </row>
    <row r="24" spans="1:3" s="21" customFormat="1" ht="112" x14ac:dyDescent="0.35">
      <c r="A24" s="179"/>
      <c r="B24" s="36" t="s">
        <v>157</v>
      </c>
      <c r="C24" s="28" t="s">
        <v>158</v>
      </c>
    </row>
    <row r="25" spans="1:3" s="21" customFormat="1" ht="42" x14ac:dyDescent="0.35">
      <c r="A25" s="179"/>
      <c r="B25" s="36" t="s">
        <v>159</v>
      </c>
      <c r="C25" s="28" t="s">
        <v>160</v>
      </c>
    </row>
    <row r="26" spans="1:3" s="21" customFormat="1" ht="28" x14ac:dyDescent="0.35">
      <c r="A26" s="179"/>
      <c r="B26" s="36" t="s">
        <v>161</v>
      </c>
      <c r="C26" s="28" t="s">
        <v>162</v>
      </c>
    </row>
    <row r="27" spans="1:3" s="21" customFormat="1" ht="42" x14ac:dyDescent="0.35">
      <c r="A27" s="180"/>
      <c r="B27" s="36" t="s">
        <v>163</v>
      </c>
      <c r="C27" s="28" t="s">
        <v>164</v>
      </c>
    </row>
    <row r="28" spans="1:3" s="21" customFormat="1" ht="56" x14ac:dyDescent="0.35">
      <c r="A28" s="165" t="s">
        <v>21</v>
      </c>
      <c r="B28" s="74" t="s">
        <v>169</v>
      </c>
      <c r="C28" s="75" t="s">
        <v>170</v>
      </c>
    </row>
    <row r="29" spans="1:3" s="21" customFormat="1" ht="42" x14ac:dyDescent="0.35">
      <c r="A29" s="167"/>
      <c r="B29" s="76" t="s">
        <v>171</v>
      </c>
      <c r="C29" s="77" t="s">
        <v>172</v>
      </c>
    </row>
    <row r="51" s="21" customFormat="1" x14ac:dyDescent="0.35"/>
  </sheetData>
  <mergeCells count="5">
    <mergeCell ref="A2:A4"/>
    <mergeCell ref="A12:A16"/>
    <mergeCell ref="A17:A27"/>
    <mergeCell ref="A28:A29"/>
    <mergeCell ref="A5:A1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5A6E2-397C-4011-A5E6-BA7AF971BCDC}">
  <sheetPr>
    <tabColor rgb="FF0070C0"/>
  </sheetPr>
  <dimension ref="A1:C21"/>
  <sheetViews>
    <sheetView showGridLines="0" workbookViewId="0">
      <pane ySplit="1" topLeftCell="A16" activePane="bottomLeft" state="frozen"/>
      <selection pane="bottomLeft" activeCell="A17" sqref="A17:C21"/>
    </sheetView>
  </sheetViews>
  <sheetFormatPr defaultColWidth="8.7265625" defaultRowHeight="14" x14ac:dyDescent="0.35"/>
  <cols>
    <col min="1" max="1" width="17.1796875" style="21" bestFit="1" customWidth="1"/>
    <col min="2" max="2" width="33.453125" style="21" customWidth="1"/>
    <col min="3" max="3" width="42.81640625" style="21" customWidth="1"/>
    <col min="4" max="16384" width="8.7265625" style="21"/>
  </cols>
  <sheetData>
    <row r="1" spans="1:3" s="67" customFormat="1" ht="20.149999999999999" customHeight="1" x14ac:dyDescent="0.35">
      <c r="A1" s="110" t="s">
        <v>9</v>
      </c>
      <c r="B1" s="110" t="s">
        <v>121</v>
      </c>
      <c r="C1" s="110" t="s">
        <v>122</v>
      </c>
    </row>
    <row r="2" spans="1:3" ht="42" x14ac:dyDescent="0.35">
      <c r="A2" s="156" t="s">
        <v>642</v>
      </c>
      <c r="B2" s="113" t="s">
        <v>299</v>
      </c>
      <c r="C2" s="22" t="s">
        <v>300</v>
      </c>
    </row>
    <row r="3" spans="1:3" ht="70" x14ac:dyDescent="0.35">
      <c r="A3" s="157"/>
      <c r="B3" s="113" t="s">
        <v>301</v>
      </c>
      <c r="C3" s="22" t="s">
        <v>302</v>
      </c>
    </row>
    <row r="4" spans="1:3" ht="28" x14ac:dyDescent="0.35">
      <c r="A4" s="157"/>
      <c r="B4" s="113" t="s">
        <v>303</v>
      </c>
      <c r="C4" s="22" t="s">
        <v>304</v>
      </c>
    </row>
    <row r="5" spans="1:3" ht="168" x14ac:dyDescent="0.35">
      <c r="A5" s="157"/>
      <c r="B5" s="113" t="s">
        <v>305</v>
      </c>
      <c r="C5" s="22" t="s">
        <v>306</v>
      </c>
    </row>
    <row r="6" spans="1:3" ht="84" x14ac:dyDescent="0.35">
      <c r="A6" s="157"/>
      <c r="B6" s="113" t="s">
        <v>307</v>
      </c>
      <c r="C6" s="22" t="s">
        <v>308</v>
      </c>
    </row>
    <row r="7" spans="1:3" ht="84" x14ac:dyDescent="0.35">
      <c r="A7" s="157"/>
      <c r="B7" s="113" t="s">
        <v>309</v>
      </c>
      <c r="C7" s="22" t="s">
        <v>310</v>
      </c>
    </row>
    <row r="8" spans="1:3" ht="42" x14ac:dyDescent="0.35">
      <c r="A8" s="157"/>
      <c r="B8" s="113" t="s">
        <v>311</v>
      </c>
      <c r="C8" s="22" t="s">
        <v>312</v>
      </c>
    </row>
    <row r="9" spans="1:3" ht="56" x14ac:dyDescent="0.35">
      <c r="A9" s="157"/>
      <c r="B9" s="113" t="s">
        <v>313</v>
      </c>
      <c r="C9" s="22" t="s">
        <v>314</v>
      </c>
    </row>
    <row r="10" spans="1:3" ht="70" x14ac:dyDescent="0.35">
      <c r="A10" s="157"/>
      <c r="B10" s="113" t="s">
        <v>315</v>
      </c>
      <c r="C10" s="22" t="s">
        <v>316</v>
      </c>
    </row>
    <row r="11" spans="1:3" ht="42" x14ac:dyDescent="0.35">
      <c r="A11" s="157"/>
      <c r="B11" s="113" t="s">
        <v>317</v>
      </c>
      <c r="C11" s="22" t="s">
        <v>318</v>
      </c>
    </row>
    <row r="12" spans="1:3" ht="42" x14ac:dyDescent="0.35">
      <c r="A12" s="157"/>
      <c r="B12" s="113" t="s">
        <v>319</v>
      </c>
      <c r="C12" s="22" t="s">
        <v>320</v>
      </c>
    </row>
    <row r="13" spans="1:3" ht="42" x14ac:dyDescent="0.35">
      <c r="A13" s="157"/>
      <c r="B13" s="113" t="s">
        <v>321</v>
      </c>
      <c r="C13" s="22" t="s">
        <v>322</v>
      </c>
    </row>
    <row r="14" spans="1:3" ht="42" x14ac:dyDescent="0.35">
      <c r="A14" s="157"/>
      <c r="B14" s="113" t="s">
        <v>323</v>
      </c>
      <c r="C14" s="22" t="s">
        <v>324</v>
      </c>
    </row>
    <row r="15" spans="1:3" ht="42" x14ac:dyDescent="0.35">
      <c r="A15" s="157"/>
      <c r="B15" s="113" t="s">
        <v>325</v>
      </c>
      <c r="C15" s="22" t="s">
        <v>326</v>
      </c>
    </row>
    <row r="16" spans="1:3" ht="56" x14ac:dyDescent="0.35">
      <c r="A16" s="158"/>
      <c r="B16" s="113" t="s">
        <v>327</v>
      </c>
      <c r="C16" s="22" t="s">
        <v>328</v>
      </c>
    </row>
    <row r="17" spans="1:3" ht="42" x14ac:dyDescent="0.35">
      <c r="A17" s="156" t="s">
        <v>395</v>
      </c>
      <c r="B17" s="22" t="s">
        <v>632</v>
      </c>
      <c r="C17" s="22" t="s">
        <v>633</v>
      </c>
    </row>
    <row r="18" spans="1:3" ht="70" x14ac:dyDescent="0.35">
      <c r="A18" s="157"/>
      <c r="B18" s="22" t="s">
        <v>634</v>
      </c>
      <c r="C18" s="22" t="s">
        <v>635</v>
      </c>
    </row>
    <row r="19" spans="1:3" ht="28" x14ac:dyDescent="0.35">
      <c r="A19" s="157"/>
      <c r="B19" s="22" t="s">
        <v>636</v>
      </c>
      <c r="C19" s="22" t="s">
        <v>637</v>
      </c>
    </row>
    <row r="20" spans="1:3" ht="56" x14ac:dyDescent="0.35">
      <c r="A20" s="157"/>
      <c r="B20" s="63" t="s">
        <v>638</v>
      </c>
      <c r="C20" s="63" t="s">
        <v>639</v>
      </c>
    </row>
    <row r="21" spans="1:3" ht="28" x14ac:dyDescent="0.35">
      <c r="A21" s="158"/>
      <c r="B21" s="32" t="s">
        <v>640</v>
      </c>
      <c r="C21" s="63" t="s">
        <v>641</v>
      </c>
    </row>
  </sheetData>
  <mergeCells count="2">
    <mergeCell ref="A2:A16"/>
    <mergeCell ref="A17:A2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F0AE4-AAB1-4B74-9972-CB3D560B7694}">
  <sheetPr>
    <tabColor rgb="FF7030A0"/>
  </sheetPr>
  <dimension ref="A1:D21"/>
  <sheetViews>
    <sheetView showGridLines="0" workbookViewId="0">
      <pane ySplit="1" topLeftCell="A11" activePane="bottomLeft" state="frozen"/>
      <selection pane="bottomLeft" activeCell="F10" sqref="F10"/>
    </sheetView>
  </sheetViews>
  <sheetFormatPr defaultRowHeight="14" x14ac:dyDescent="0.3"/>
  <cols>
    <col min="1" max="1" width="32.54296875" style="64" bestFit="1" customWidth="1"/>
    <col min="2" max="2" width="33.453125" style="64" bestFit="1" customWidth="1"/>
    <col min="3" max="3" width="45.1796875" style="64" bestFit="1" customWidth="1"/>
    <col min="4" max="4" width="9.7265625" style="64" bestFit="1" customWidth="1"/>
    <col min="5" max="16384" width="8.7265625" style="64"/>
  </cols>
  <sheetData>
    <row r="1" spans="1:4" x14ac:dyDescent="0.3">
      <c r="A1" s="66" t="s">
        <v>57</v>
      </c>
      <c r="B1" s="66" t="s">
        <v>329</v>
      </c>
      <c r="C1" s="66" t="s">
        <v>330</v>
      </c>
      <c r="D1" s="66" t="s">
        <v>59</v>
      </c>
    </row>
    <row r="2" spans="1:4" x14ac:dyDescent="0.3">
      <c r="A2" s="125" t="s">
        <v>331</v>
      </c>
      <c r="B2" s="125" t="s">
        <v>685</v>
      </c>
      <c r="C2" s="125" t="s">
        <v>686</v>
      </c>
      <c r="D2" s="125">
        <v>0.75</v>
      </c>
    </row>
    <row r="3" spans="1:4" x14ac:dyDescent="0.3">
      <c r="A3" s="117" t="s">
        <v>331</v>
      </c>
      <c r="B3" s="117" t="s">
        <v>332</v>
      </c>
      <c r="C3" s="117" t="s">
        <v>333</v>
      </c>
      <c r="D3" s="117">
        <v>2</v>
      </c>
    </row>
    <row r="4" spans="1:4" x14ac:dyDescent="0.3">
      <c r="A4" s="117" t="s">
        <v>331</v>
      </c>
      <c r="B4" s="117" t="s">
        <v>334</v>
      </c>
      <c r="C4" s="117" t="s">
        <v>335</v>
      </c>
      <c r="D4" s="117">
        <v>2</v>
      </c>
    </row>
    <row r="5" spans="1:4" x14ac:dyDescent="0.3">
      <c r="A5" s="117" t="s">
        <v>336</v>
      </c>
      <c r="B5" s="117" t="s">
        <v>337</v>
      </c>
      <c r="C5" s="117" t="s">
        <v>338</v>
      </c>
      <c r="D5" s="117">
        <v>2</v>
      </c>
    </row>
    <row r="6" spans="1:4" x14ac:dyDescent="0.3">
      <c r="A6" s="117" t="s">
        <v>336</v>
      </c>
      <c r="B6" s="117" t="s">
        <v>334</v>
      </c>
      <c r="C6" s="117" t="s">
        <v>339</v>
      </c>
      <c r="D6" s="117">
        <v>2</v>
      </c>
    </row>
    <row r="7" spans="1:4" x14ac:dyDescent="0.3">
      <c r="A7" s="117" t="s">
        <v>340</v>
      </c>
      <c r="B7" s="117" t="s">
        <v>332</v>
      </c>
      <c r="C7" s="117" t="s">
        <v>341</v>
      </c>
      <c r="D7" s="117">
        <v>2</v>
      </c>
    </row>
    <row r="8" spans="1:4" x14ac:dyDescent="0.3">
      <c r="A8" s="117" t="s">
        <v>340</v>
      </c>
      <c r="B8" s="117" t="s">
        <v>342</v>
      </c>
      <c r="C8" s="117" t="s">
        <v>343</v>
      </c>
      <c r="D8" s="117">
        <v>2</v>
      </c>
    </row>
    <row r="9" spans="1:4" x14ac:dyDescent="0.3">
      <c r="A9" s="117" t="s">
        <v>344</v>
      </c>
      <c r="B9" s="117" t="s">
        <v>334</v>
      </c>
      <c r="C9" s="117" t="s">
        <v>345</v>
      </c>
      <c r="D9" s="117">
        <v>2</v>
      </c>
    </row>
    <row r="10" spans="1:4" x14ac:dyDescent="0.3">
      <c r="A10" s="117" t="s">
        <v>344</v>
      </c>
      <c r="B10" s="117" t="s">
        <v>346</v>
      </c>
      <c r="C10" s="117" t="s">
        <v>347</v>
      </c>
      <c r="D10" s="117">
        <v>2</v>
      </c>
    </row>
    <row r="11" spans="1:4" x14ac:dyDescent="0.3">
      <c r="A11" s="181" t="s">
        <v>348</v>
      </c>
      <c r="B11" s="117" t="s">
        <v>349</v>
      </c>
      <c r="C11" s="117" t="s">
        <v>350</v>
      </c>
      <c r="D11" s="117">
        <v>2</v>
      </c>
    </row>
    <row r="12" spans="1:4" x14ac:dyDescent="0.3">
      <c r="A12" s="182"/>
      <c r="B12" s="117" t="s">
        <v>351</v>
      </c>
      <c r="C12" s="117" t="s">
        <v>350</v>
      </c>
      <c r="D12" s="117">
        <v>3</v>
      </c>
    </row>
    <row r="13" spans="1:4" x14ac:dyDescent="0.3">
      <c r="A13" s="118" t="s">
        <v>352</v>
      </c>
      <c r="B13" s="117" t="s">
        <v>346</v>
      </c>
      <c r="C13" s="117" t="s">
        <v>353</v>
      </c>
      <c r="D13" s="117">
        <v>2</v>
      </c>
    </row>
    <row r="14" spans="1:4" x14ac:dyDescent="0.3">
      <c r="A14" s="117" t="s">
        <v>65</v>
      </c>
      <c r="B14" s="117" t="s">
        <v>342</v>
      </c>
      <c r="C14" s="117" t="s">
        <v>354</v>
      </c>
      <c r="D14" s="117">
        <v>2</v>
      </c>
    </row>
    <row r="15" spans="1:4" x14ac:dyDescent="0.3">
      <c r="A15" s="117" t="s">
        <v>65</v>
      </c>
      <c r="B15" s="117" t="s">
        <v>334</v>
      </c>
      <c r="C15" s="117" t="s">
        <v>355</v>
      </c>
      <c r="D15" s="117">
        <v>2</v>
      </c>
    </row>
    <row r="16" spans="1:4" x14ac:dyDescent="0.3">
      <c r="A16" s="117" t="s">
        <v>356</v>
      </c>
      <c r="B16" s="117" t="s">
        <v>346</v>
      </c>
      <c r="C16" s="117" t="s">
        <v>347</v>
      </c>
      <c r="D16" s="117">
        <v>2</v>
      </c>
    </row>
    <row r="17" spans="1:4" x14ac:dyDescent="0.3">
      <c r="A17" s="117" t="s">
        <v>356</v>
      </c>
      <c r="B17" s="117" t="s">
        <v>346</v>
      </c>
      <c r="C17" s="117" t="s">
        <v>357</v>
      </c>
      <c r="D17" s="117">
        <v>2</v>
      </c>
    </row>
    <row r="18" spans="1:4" x14ac:dyDescent="0.3">
      <c r="A18" s="119" t="s">
        <v>358</v>
      </c>
      <c r="B18" s="117" t="s">
        <v>334</v>
      </c>
      <c r="C18" s="117" t="s">
        <v>359</v>
      </c>
      <c r="D18" s="117">
        <v>2</v>
      </c>
    </row>
    <row r="19" spans="1:4" x14ac:dyDescent="0.3">
      <c r="A19" s="181" t="s">
        <v>360</v>
      </c>
      <c r="B19" s="117" t="s">
        <v>361</v>
      </c>
      <c r="C19" s="117" t="s">
        <v>362</v>
      </c>
      <c r="D19" s="117">
        <v>2</v>
      </c>
    </row>
    <row r="20" spans="1:4" x14ac:dyDescent="0.3">
      <c r="A20" s="182"/>
      <c r="B20" s="117" t="s">
        <v>363</v>
      </c>
      <c r="C20" s="117" t="s">
        <v>364</v>
      </c>
      <c r="D20" s="117">
        <v>3.5</v>
      </c>
    </row>
    <row r="21" spans="1:4" x14ac:dyDescent="0.3">
      <c r="A21" s="124" t="s">
        <v>682</v>
      </c>
      <c r="B21" s="124" t="s">
        <v>683</v>
      </c>
      <c r="C21" s="124" t="s">
        <v>684</v>
      </c>
      <c r="D21" s="124">
        <v>0.75</v>
      </c>
    </row>
  </sheetData>
  <mergeCells count="2">
    <mergeCell ref="A11:A12"/>
    <mergeCell ref="A19:A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86A18-C379-448E-82A8-FE7ED718523A}">
  <sheetPr>
    <tabColor rgb="FF92D050"/>
  </sheetPr>
  <dimension ref="A1:B5"/>
  <sheetViews>
    <sheetView showGridLines="0" workbookViewId="0">
      <pane ySplit="1" topLeftCell="A2" activePane="bottomLeft" state="frozen"/>
      <selection pane="bottomLeft" activeCell="D2" sqref="D2"/>
    </sheetView>
  </sheetViews>
  <sheetFormatPr defaultColWidth="9.1796875" defaultRowHeight="14" x14ac:dyDescent="0.35"/>
  <cols>
    <col min="1" max="1" width="38.7265625" style="21" customWidth="1"/>
    <col min="2" max="2" width="48.26953125" style="21" customWidth="1"/>
    <col min="3" max="16384" width="9.1796875" style="21"/>
  </cols>
  <sheetData>
    <row r="1" spans="1:2" s="64" customFormat="1" ht="20.149999999999999" customHeight="1" x14ac:dyDescent="0.3">
      <c r="A1" s="120" t="s">
        <v>365</v>
      </c>
      <c r="B1" s="120" t="s">
        <v>366</v>
      </c>
    </row>
    <row r="2" spans="1:2" ht="98" x14ac:dyDescent="0.35">
      <c r="A2" s="63" t="s">
        <v>643</v>
      </c>
      <c r="B2" s="63" t="s">
        <v>367</v>
      </c>
    </row>
    <row r="3" spans="1:2" ht="56" x14ac:dyDescent="0.35">
      <c r="A3" s="63" t="s">
        <v>644</v>
      </c>
      <c r="B3" s="63" t="s">
        <v>368</v>
      </c>
    </row>
    <row r="4" spans="1:2" ht="42" x14ac:dyDescent="0.35">
      <c r="A4" s="63" t="s">
        <v>645</v>
      </c>
      <c r="B4" s="63" t="s">
        <v>369</v>
      </c>
    </row>
    <row r="5" spans="1:2" ht="98" x14ac:dyDescent="0.35">
      <c r="A5" s="63" t="s">
        <v>646</v>
      </c>
      <c r="B5" s="63" t="s">
        <v>370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C70F1-26D1-4311-B0D3-1002ADD53150}">
  <sheetPr>
    <tabColor theme="5" tint="-0.249977111117893"/>
  </sheetPr>
  <dimension ref="A1:B17"/>
  <sheetViews>
    <sheetView showGridLines="0" workbookViewId="0">
      <pane ySplit="1" topLeftCell="A2" activePane="bottomLeft" state="frozen"/>
      <selection pane="bottomLeft" activeCell="E15" sqref="E15"/>
    </sheetView>
  </sheetViews>
  <sheetFormatPr defaultRowHeight="14.5" x14ac:dyDescent="0.35"/>
  <cols>
    <col min="1" max="1" width="37.54296875" customWidth="1"/>
    <col min="2" max="2" width="56.7265625" customWidth="1"/>
  </cols>
  <sheetData>
    <row r="1" spans="1:2" x14ac:dyDescent="0.35">
      <c r="A1" s="81" t="s">
        <v>455</v>
      </c>
      <c r="B1" s="82" t="s">
        <v>456</v>
      </c>
    </row>
    <row r="2" spans="1:2" x14ac:dyDescent="0.35">
      <c r="A2" s="83" t="s">
        <v>457</v>
      </c>
      <c r="B2" s="84" t="s">
        <v>458</v>
      </c>
    </row>
    <row r="3" spans="1:2" x14ac:dyDescent="0.35">
      <c r="A3" s="85" t="s">
        <v>459</v>
      </c>
      <c r="B3" s="84" t="s">
        <v>460</v>
      </c>
    </row>
    <row r="4" spans="1:2" x14ac:dyDescent="0.35">
      <c r="A4" s="85" t="s">
        <v>461</v>
      </c>
      <c r="B4" s="84" t="s">
        <v>462</v>
      </c>
    </row>
    <row r="5" spans="1:2" x14ac:dyDescent="0.35">
      <c r="A5" s="183" t="s">
        <v>463</v>
      </c>
      <c r="B5" s="86" t="s">
        <v>464</v>
      </c>
    </row>
    <row r="6" spans="1:2" x14ac:dyDescent="0.35">
      <c r="A6" s="184"/>
      <c r="B6" s="86" t="s">
        <v>465</v>
      </c>
    </row>
    <row r="7" spans="1:2" x14ac:dyDescent="0.35">
      <c r="A7" s="184"/>
      <c r="B7" s="86" t="s">
        <v>466</v>
      </c>
    </row>
    <row r="8" spans="1:2" x14ac:dyDescent="0.35">
      <c r="A8" s="184"/>
      <c r="B8" s="86" t="s">
        <v>467</v>
      </c>
    </row>
    <row r="9" spans="1:2" x14ac:dyDescent="0.35">
      <c r="A9" s="184"/>
      <c r="B9" s="84" t="s">
        <v>468</v>
      </c>
    </row>
    <row r="10" spans="1:2" x14ac:dyDescent="0.35">
      <c r="A10" s="185" t="s">
        <v>469</v>
      </c>
      <c r="B10" s="86" t="s">
        <v>470</v>
      </c>
    </row>
    <row r="11" spans="1:2" x14ac:dyDescent="0.35">
      <c r="A11" s="185"/>
      <c r="B11" s="86" t="s">
        <v>471</v>
      </c>
    </row>
    <row r="12" spans="1:2" x14ac:dyDescent="0.35">
      <c r="A12" s="185"/>
      <c r="B12" s="86" t="s">
        <v>472</v>
      </c>
    </row>
    <row r="13" spans="1:2" x14ac:dyDescent="0.35">
      <c r="A13" s="185"/>
      <c r="B13" s="84" t="s">
        <v>473</v>
      </c>
    </row>
    <row r="14" spans="1:2" x14ac:dyDescent="0.35">
      <c r="A14" s="186" t="s">
        <v>474</v>
      </c>
      <c r="B14" s="86" t="s">
        <v>475</v>
      </c>
    </row>
    <row r="15" spans="1:2" x14ac:dyDescent="0.35">
      <c r="A15" s="186"/>
      <c r="B15" s="86" t="s">
        <v>476</v>
      </c>
    </row>
    <row r="16" spans="1:2" x14ac:dyDescent="0.35">
      <c r="A16" s="186"/>
      <c r="B16" s="86" t="s">
        <v>477</v>
      </c>
    </row>
    <row r="17" spans="1:2" x14ac:dyDescent="0.35">
      <c r="A17" s="186"/>
      <c r="B17" s="84" t="s">
        <v>478</v>
      </c>
    </row>
  </sheetData>
  <mergeCells count="3">
    <mergeCell ref="A5:A9"/>
    <mergeCell ref="A10:A13"/>
    <mergeCell ref="A14:A1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5039A044B60D40B3724930C1FBFD03" ma:contentTypeVersion="17" ma:contentTypeDescription="Create a new document." ma:contentTypeScope="" ma:versionID="3f09417f93134658a5eb5e275513094b">
  <xsd:schema xmlns:xsd="http://www.w3.org/2001/XMLSchema" xmlns:xs="http://www.w3.org/2001/XMLSchema" xmlns:p="http://schemas.microsoft.com/office/2006/metadata/properties" xmlns:ns2="a36ce515-a707-4959-aaa2-b339df12b9ad" xmlns:ns3="c1fa1b37-97c2-4738-b9c9-f06e40c084a6" targetNamespace="http://schemas.microsoft.com/office/2006/metadata/properties" ma:root="true" ma:fieldsID="24d1f94bb238deebf8beaaa93a7a0d54" ns2:_="" ns3:_="">
    <xsd:import namespace="a36ce515-a707-4959-aaa2-b339df12b9ad"/>
    <xsd:import namespace="c1fa1b37-97c2-4738-b9c9-f06e40c084a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6ce515-a707-4959-aaa2-b339df12b9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63b7d1d5-7262-4eb7-85df-493a730aa64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a1b37-97c2-4738-b9c9-f06e40c084a6"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000b07d-837c-47c6-83e1-c25618c757b1}" ma:internalName="TaxCatchAll" ma:showField="CatchAllData" ma:web="c1fa1b37-97c2-4738-b9c9-f06e40c084a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36ce515-a707-4959-aaa2-b339df12b9ad">
      <Terms xmlns="http://schemas.microsoft.com/office/infopath/2007/PartnerControls"/>
    </lcf76f155ced4ddcb4097134ff3c332f>
    <TaxCatchAll xmlns="c1fa1b37-97c2-4738-b9c9-f06e40c084a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2EE1CD7-AC8A-4F29-8BB4-6B30D33AD583}"/>
</file>

<file path=customXml/itemProps2.xml><?xml version="1.0" encoding="utf-8"?>
<ds:datastoreItem xmlns:ds="http://schemas.openxmlformats.org/officeDocument/2006/customXml" ds:itemID="{7C22D67F-20D5-4B35-BF9D-78C3914A3958}">
  <ds:schemaRefs>
    <ds:schemaRef ds:uri="http://purl.org/dc/dcmitype/"/>
    <ds:schemaRef ds:uri="http://purl.org/dc/terms/"/>
    <ds:schemaRef ds:uri="c6f516c4-2602-422c-aa9a-755893ba4f98"/>
    <ds:schemaRef ds:uri="http://purl.org/dc/elements/1.1/"/>
    <ds:schemaRef ds:uri="http://schemas.microsoft.com/office/2006/metadata/properties"/>
    <ds:schemaRef ds:uri="3c35e321-f73a-4dae-ae38-a0459de24735"/>
    <ds:schemaRef ds:uri="http://www.w3.org/XML/1998/namespace"/>
    <ds:schemaRef ds:uri="http://schemas.microsoft.com/office/2006/documentManagement/types"/>
    <ds:schemaRef ds:uri="http://schemas.microsoft.com/office/infopath/2007/PartnerControls"/>
    <ds:schemaRef ds:uri="http://schemas.openxmlformats.org/package/2006/metadata/core-properties"/>
    <ds:schemaRef ds:uri="951c5514-b77c-4532-82d5-a05f2f7d58e2"/>
  </ds:schemaRefs>
</ds:datastoreItem>
</file>

<file path=customXml/itemProps3.xml><?xml version="1.0" encoding="utf-8"?>
<ds:datastoreItem xmlns:ds="http://schemas.openxmlformats.org/officeDocument/2006/customXml" ds:itemID="{A7EE10D6-4EE4-4012-98AC-2998D7C3A14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About the Curriculum</vt:lpstr>
      <vt:lpstr>Module List</vt:lpstr>
      <vt:lpstr>Dev-Led View</vt:lpstr>
      <vt:lpstr>Skill Framework</vt:lpstr>
      <vt:lpstr>Performance Outcomes</vt:lpstr>
      <vt:lpstr>Refresher - Tech Scope</vt:lpstr>
      <vt:lpstr>Sprint 1 - Tech Scope</vt:lpstr>
      <vt:lpstr>Sprint 2 - Tech Scope</vt:lpstr>
      <vt:lpstr>Sprint 3 - Tech Scope</vt:lpstr>
      <vt:lpstr>Sprint 4 - Tech Scope</vt:lpstr>
      <vt:lpstr>Sprint 5 - Tech Scope</vt:lpstr>
      <vt:lpstr>BH Training - Scope</vt:lpstr>
      <vt:lpstr>AI Accelerate - Coverage</vt:lpstr>
      <vt:lpstr>GitHub Copilot - Coverage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Pujari, Raj Surya (Cognizant)</cp:lastModifiedBy>
  <cp:revision/>
  <dcterms:created xsi:type="dcterms:W3CDTF">2023-10-16T02:04:19Z</dcterms:created>
  <dcterms:modified xsi:type="dcterms:W3CDTF">2026-02-27T11:32:02Z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0x010100145039A044B60D40B3724930C1FBFD03</vt:lpwstr>
  </property>
  <property fmtid="{D5CDD505-2E9C-101B-9397-08002B2CF9AE}" pid="3" name="MediaServiceImageTags">
    <vt:lpwstr/>
  </property>
</Properties>
</file>